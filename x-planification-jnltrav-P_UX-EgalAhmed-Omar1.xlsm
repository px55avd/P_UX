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P_UX-ACD\"/>
    </mc:Choice>
  </mc:AlternateContent>
  <xr:revisionPtr revIDLastSave="0" documentId="13_ncr:1_{BDA8255A-C869-4C2A-B49C-6B9B87183D35}" xr6:coauthVersionLast="47" xr6:coauthVersionMax="47" xr10:uidLastSave="{00000000-0000-0000-0000-000000000000}"/>
  <bookViews>
    <workbookView xWindow="-110" yWindow="-110" windowWidth="25820" windowHeight="13900" activeTab="5" xr2:uid="{00000000-000D-0000-FFFF-FFFF00000000}"/>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3" i="158" l="1"/>
  <c r="B21" i="158"/>
  <c r="B19" i="158"/>
  <c r="B17" i="158"/>
  <c r="B15" i="158"/>
  <c r="B13" i="158"/>
  <c r="B11" i="158"/>
  <c r="B9" i="158"/>
  <c r="B7" i="158"/>
  <c r="B5" i="158"/>
  <c r="C26" i="158"/>
  <c r="C25" i="158"/>
  <c r="D58" i="156"/>
  <c r="D77" i="156"/>
  <c r="D96" i="156" s="1"/>
  <c r="D115" i="156" s="1"/>
  <c r="D134" i="156" s="1"/>
  <c r="D153" i="156" s="1"/>
  <c r="D39" i="156"/>
  <c r="D20" i="156"/>
  <c r="D1" i="156"/>
  <c r="B170" i="156"/>
  <c r="B151" i="156"/>
  <c r="B132" i="156"/>
  <c r="B113" i="156"/>
  <c r="B94" i="156"/>
  <c r="B75" i="156"/>
  <c r="B56" i="156"/>
  <c r="B37" i="156"/>
  <c r="B18" i="156"/>
  <c r="B125" i="155"/>
  <c r="B111" i="155"/>
  <c r="B97" i="155"/>
  <c r="B83" i="155"/>
  <c r="B69" i="155"/>
  <c r="B55" i="155"/>
  <c r="B41" i="155"/>
  <c r="B27" i="155"/>
  <c r="B13" i="155"/>
  <c r="B18" i="154"/>
  <c r="B13" i="11" l="1"/>
</calcChain>
</file>

<file path=xl/sharedStrings.xml><?xml version="1.0" encoding="utf-8"?>
<sst xmlns="http://schemas.openxmlformats.org/spreadsheetml/2006/main" count="307" uniqueCount="95">
  <si>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</si>
  <si>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</si>
  <si>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</si>
  <si>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</si>
  <si>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</si>
  <si>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</si>
  <si>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</si>
  <si>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</si>
  <si>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</si>
  <si>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</si>
  <si>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</si>
  <si>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</si>
  <si>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</si>
  <si>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</si>
  <si>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</si>
  <si>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</si>
  <si>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</si>
  <si>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</si>
  <si>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</si>
  <si>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</si>
  <si>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</si>
  <si>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</si>
  <si>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</si>
  <si>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</si>
  <si>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P_UX</t>
  </si>
  <si>
    <t>Omar - Egal Ahmed</t>
  </si>
  <si>
    <t>FIN1</t>
  </si>
  <si>
    <t>Lausanne - Vennes</t>
  </si>
  <si>
    <t>Faire</t>
  </si>
  <si>
    <t>Coder</t>
  </si>
  <si>
    <t>Implémanter</t>
  </si>
  <si>
    <t>Conceptualiser</t>
  </si>
  <si>
    <t>Tester</t>
  </si>
  <si>
    <t>Analyser</t>
  </si>
  <si>
    <t>Ecrire</t>
  </si>
  <si>
    <t>Corriger</t>
  </si>
  <si>
    <t>Rendre</t>
  </si>
  <si>
    <t>Max. 12</t>
  </si>
  <si>
    <t>STOP</t>
  </si>
  <si>
    <t>L'interface graphique actuelle</t>
  </si>
  <si>
    <t>Des propositions d'améliorations à envisager</t>
  </si>
  <si>
    <t>Le chapitre analye avec les points d'analyse et concpetualisation plutôt.</t>
  </si>
  <si>
    <t>Rechercher</t>
  </si>
  <si>
    <t>Sur Ergonomie des interfaces (respect des principes UX),Utilisation du design pattern MVC et  I18N</t>
  </si>
  <si>
    <t>Maladie</t>
  </si>
  <si>
    <t>Absence exceptionnelle pour raisons familiales.</t>
  </si>
  <si>
    <t>La maquette sur papier pour les différentes vues afin de réaliser la maquette au propre pour de la faire valider par le professseur.</t>
  </si>
  <si>
    <t>La maquette papier avec un total de 9 vues.</t>
  </si>
  <si>
    <t>La premiere version de la maquette à la professeur dont l'eventualité de correction: il manquait des labels afin de mieux contextualiser les vues pour les utilisateur et un bouton langue dans le footer des vues afin de changer de langues plus aisément.</t>
  </si>
  <si>
    <t>Les erreurs repérées par Madame Curchod.</t>
  </si>
  <si>
    <t>Le scans numériques de mes différentes vues via l'aide des imprimatantes de l'ETML présentes dans le batiment.</t>
  </si>
  <si>
    <t>Les 4 premières vues de ma maquette sur Visual studio code en Winform: les différentes vues contiennent des panels pour mieux gérer l'affichage. Des controls en adéquation avec la maquette.</t>
  </si>
  <si>
    <t>Demande d'aide à mes camarades et à la professeur afin de réaliser ses vues au plus vite.</t>
  </si>
  <si>
    <t>La réalisations des 5 dernières restantes afin de commencer à gérer la naviguation entre les différentes vues.</t>
  </si>
  <si>
    <t>La gestion de la navigations de mes différentes vues à l'aide d'une méthode générales dans le controlleur. Cette méthode permet de Hide puis de Show les forms rentrées en paramètres de la méthode.</t>
  </si>
  <si>
    <t>les diiférentes classe afin de mettre en place le pattern MVC(Modèle; Vue; Controlleur) vu en classe. Ces différentes class sont intégrer dans des dossiers comme demandé et Un dossier Ressources a déjà été implémenter pour ensuite y intégrer les fichier ressourse necessaire.</t>
  </si>
  <si>
    <t>La naviguation entre mes différentes formes est maintenant terminé. Il manque tout de même le code néssaire lors de l'événement du click sur le bouton stop sur toutes mes pages qui me redirige vers la première page.</t>
  </si>
  <si>
    <t>la classe Ticket.cs qui se trouve dans le même dossier que le model afin de mieux gérer l'achat du billet.</t>
  </si>
  <si>
    <t xml:space="preserve">La méthode dans le controlleur qui récupèrent les infos dans les différents labels de la page en cours et des variable privates présent dans le controlleur afin de génerer des tickets à prix standards et réduits. </t>
  </si>
  <si>
    <t>Cette méthode a été implémenté ensuite dans la méthode événementielle du click bouton "Valider" de la page d'achat de billets normaux.</t>
  </si>
  <si>
    <t>Les méthodes pour incrémenter et décrementer des compteur qui se trouvent en private dans mon controlleur qui ensuite vont s'afficher dans des labels pour correspondre au nombre de billets selectionnés par l'utilisateur.</t>
  </si>
  <si>
    <t>Ces méthodes au différentes méthodes événementielles des clicks des boutons Plus et Moins qui modifient les deux labels contenant le nombre de billets souhaiter par l'utilisateur. Malheuresement, il y a un problème avec le compteur du label à prix réduit, il ne s'actualise pas comme voulu.</t>
  </si>
  <si>
    <t>Lundi 27.05.2024</t>
  </si>
  <si>
    <t>Un bug non décelé plutôt. Le bug est que le texte du lblinHeader de la vue "viewSpecialticketChoices" ne s'adaptait pas à la selection du billet spécial et avait une valeur par défaut. Pour corriger ce bug, des string ont été intégrer au fichier ressources qui sont ensuite appelé dans une méthode qui récupère le string dans une variable private "_currentSpécialticket" dans la class Controller.cs.</t>
  </si>
  <si>
    <t>Le code est les méthodes afin de gérer L'I18N dans l'application. Ce code a été réaliser lors de l'ecobancomat lors de période théorique du module. Le code implémenter contient une variable enum Lang avec les différentes langues et un RessourceManager qui se trouve dans la class Controller.cs. Ces variables sont ensuite gérer par la méthode "Lang()" qui récupère une Langue et  gère le bon RessourceManager à Attribuer aux différentes vues avec la méthode "UpdateLang() qui de trouves dans le code .cs de toutes les vues".</t>
  </si>
  <si>
    <t>Il y a un autre problème à gérer avec les fichiers ressources. Le problème est que mes vues contiennent des panels et la méthode fournit dans les cours théorique ne me permet pas de parcourir les containers d'une vue afin de modier le texte de tous mes controls.</t>
  </si>
  <si>
    <t>La Solution de mon camarade Valentin Pignat qui a réussi à parcourir les containers de ses vues. J'étais parti dans la bonne logique mais je recontrais un problème dans la logique dans mon code et il m'a montré comment ils avait coder ces méthode UpdateLang() dans ses vues.</t>
  </si>
  <si>
    <t>La méthode afin de réaliser l'achat de billet spéciaux dans Controller.cs lors du click sur le bouton valider de la page "viewSpecialticketChoices" a été faites. Ce code a été réaliser en grande partie avec le code préexistant. Il m'a suffit de gérer le booléen retourner par mer radioButton pour savoir quel nom et quel prix attribuer à mes tickets.</t>
  </si>
  <si>
    <t>La méthode necessaire à l'affichage du panier du l'utilisatsateur dans Controller.cs. La méthode est appelé a chaque fois que le vue est activée. Le problème est qu'après une validation de billets elle ne se met plus à jour. Cette méthode trie ma liste de tickets présent dans Model.cs pour les différents type de tickets et affiche les informations dans le panels avec des méthodes qui va les créer et les palcer dans ma vue "viewAllmyChoice"</t>
  </si>
  <si>
    <t>Finir de compléter le journal de travail</t>
  </si>
  <si>
    <t>Le code manquant pour finaliser l'application</t>
  </si>
  <si>
    <t>Les variables strings dans la bonne langue dans le bons fichier ressource correspondant.</t>
  </si>
  <si>
    <t>Les différentes vue de ma maquette sur VS code en Winform.</t>
  </si>
  <si>
    <t xml:space="preserve">les diiférentes classe afin de mettre en place le pattern MVC(Modèle; Vue; Controlleur) vu en classe. </t>
  </si>
  <si>
    <t>La maquette papier.</t>
  </si>
  <si>
    <t>La gestion de la navigations de mes différentes vues. A voir comment faire.</t>
  </si>
  <si>
    <t>La naviguation entre mes différentes formes lors des clicks sur les boutons "valider", "retour" et "Stop".</t>
  </si>
  <si>
    <t xml:space="preserve">La méthode qui récupèrent les infos dans les différents labels de la page en cours et des variable privates du modèle afin de génerer des tickets à prix standards et réduits. </t>
  </si>
  <si>
    <t>Les méthodes pour incrémenter et décrementer des compteur qui se trouvent qui ensuite vont s'afficher dans des labels pour correspondre au nombre de billets selectionnés par l'utilisateur.</t>
  </si>
  <si>
    <t>Ces méthodes au différentes méthodes événementielles des clicks des boutons Plus et Moins qui modifient les deux labels contenant le nombre de billets souhaiter par l'utilisateur.</t>
  </si>
  <si>
    <t xml:space="preserve">Le code est les méthodes afin de gérer L'I18N dans l'application. </t>
  </si>
  <si>
    <t>La méthode necessaire à l'affichage du panier du l'utilisatsateur dans Controller.cs.</t>
  </si>
  <si>
    <t>La méthode afin de réaliser l'achat de billet spéciaux dans Controller.cs lors du click sur le bouton valider de la page "viewSpecialticketChoices" a été faites.</t>
  </si>
  <si>
    <t>rédiger le rapport</t>
  </si>
  <si>
    <t>rédiger le rapport, l'analye des vues a été réaliser à la de ChatGPT.</t>
  </si>
  <si>
    <t>Le code manquant pour finaliser l'application : finir de rédiger des commnentaire, et de corriger le code d'affichage du panier d'achat.</t>
  </si>
  <si>
    <t>S 1</t>
  </si>
  <si>
    <t>S 2</t>
  </si>
  <si>
    <t>S 3</t>
  </si>
  <si>
    <t>S 4</t>
  </si>
  <si>
    <t>S 5</t>
  </si>
  <si>
    <t>S 6</t>
  </si>
  <si>
    <t>S 7</t>
  </si>
  <si>
    <t>S 8</t>
  </si>
  <si>
    <t>S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</si>
</sst>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4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2"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14" fontId="0" fillId="0" borderId="2" xfId="1" applyNumberFormat="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1" fontId="2" fillId="7" borderId="27" xfId="0" applyNumberFormat="1" applyFont="1" applyFill="1" applyBorder="1" applyAlignment="1" applyProtection="1">
      <alignment horizontal="center" vertical="center"/>
    </xf>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7" borderId="19" xfId="0" applyFill="1" applyBorder="1" applyProtection="1"/>
    <xf numFmtId="1" fontId="2" fillId="7" borderId="28" xfId="0" applyNumberFormat="1" applyFont="1" applyFill="1" applyBorder="1" applyAlignment="1" applyProtection="1">
      <alignment horizontal="center" vertical="center"/>
    </xf>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6" borderId="35" xfId="0" applyFont="1" applyFill="1" applyBorder="1" applyAlignment="1" applyProtection="1">
      <alignment vertical="center"/>
    </xf>
    <xf numFmtId="0" fontId="18" fillId="14" borderId="29" xfId="0" applyFont="1" applyFill="1" applyBorder="1" applyAlignment="1" applyProtection="1">
      <alignment horizontal="center" vertical="center"/>
    </xf>
    <xf numFmtId="0" fontId="17" fillId="6" borderId="19" xfId="0" applyFont="1" applyFill="1" applyBorder="1" applyAlignment="1" applyProtection="1">
      <alignment vertical="center"/>
    </xf>
    <xf numFmtId="0" fontId="18" fillId="14" borderId="28"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41" xfId="0" applyFill="1" applyBorder="1" applyProtection="1"/>
    <xf numFmtId="0" fontId="0" fillId="15" borderId="42" xfId="0" applyFill="1" applyBorder="1" applyProtection="1"/>
    <xf numFmtId="0" fontId="0" fillId="15" borderId="43" xfId="0" applyFill="1" applyBorder="1" applyProtection="1"/>
    <xf numFmtId="0" fontId="0" fillId="15" borderId="44" xfId="0" applyFill="1" applyBorder="1" applyProtection="1"/>
    <xf numFmtId="0" fontId="0" fillId="15" borderId="45" xfId="0" applyFill="1" applyBorder="1" applyProtection="1"/>
    <xf numFmtId="0" fontId="0" fillId="15" borderId="0" xfId="0" applyFill="1" applyProtection="1"/>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6" borderId="0" xfId="0" applyFill="1" applyProtection="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2</xdr:row>
          <xdr:rowOff>0</xdr:rowOff>
        </xdr:from>
        <xdr:to>
          <xdr:col>6</xdr:col>
          <xdr:colOff>6350</xdr:colOff>
          <xdr:row>3</xdr:row>
          <xdr:rowOff>222250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25400</xdr:colOff>
          <xdr:row>7</xdr:row>
          <xdr:rowOff>63500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44450</xdr:colOff>
          <xdr:row>10</xdr:row>
          <xdr:rowOff>146050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63500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2" zoomScaleNormal="100" zoomScaleSheetLayoutView="100" workbookViewId="0">
      <selection activeCell="C31" sqref="C31"/>
    </sheetView>
  </sheetViews>
  <sheetFormatPr baseColWidth="10"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24</v>
      </c>
      <c r="D3" s="59"/>
      <c r="E3" s="59"/>
      <c r="F3" s="59"/>
      <c r="G3" s="60"/>
    </row>
    <row r="4" spans="1:7" ht="20.5" x14ac:dyDescent="0.25">
      <c r="A4" s="58"/>
      <c r="B4" s="63" t="s">
        <v>4</v>
      </c>
      <c r="C4" s="64" t="s">
        <v>25</v>
      </c>
      <c r="D4" s="59"/>
      <c r="E4" s="59"/>
      <c r="F4" s="59"/>
      <c r="G4" s="60"/>
    </row>
    <row r="5" spans="1:7" ht="20.5" x14ac:dyDescent="0.25">
      <c r="A5" s="58"/>
      <c r="B5" s="63" t="s">
        <v>1</v>
      </c>
      <c r="C5" s="64" t="s">
        <v>26</v>
      </c>
      <c r="D5" s="59"/>
      <c r="E5" s="59"/>
      <c r="F5" s="59"/>
      <c r="G5" s="60"/>
    </row>
    <row r="6" spans="1:7" ht="21" thickBot="1" x14ac:dyDescent="0.3">
      <c r="A6" s="58"/>
      <c r="B6" s="65" t="s">
        <v>2</v>
      </c>
      <c r="C6" s="66" t="s">
        <v>27</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45372</v>
      </c>
      <c r="D9" s="59"/>
      <c r="E9" s="59"/>
      <c r="F9" s="59"/>
      <c r="G9" s="60"/>
    </row>
    <row r="10" spans="1:7" ht="20.5" x14ac:dyDescent="0.25">
      <c r="A10" s="58"/>
      <c r="B10" s="68" t="s">
        <v>8</v>
      </c>
      <c r="C10" s="69">
        <v>45442</v>
      </c>
      <c r="D10" s="59"/>
      <c r="E10" s="59"/>
      <c r="F10" s="59"/>
      <c r="G10" s="60"/>
    </row>
    <row r="11" spans="1:7" ht="20.5" x14ac:dyDescent="0.25">
      <c r="A11" s="58"/>
      <c r="B11" s="68" t="s">
        <v>10</v>
      </c>
      <c r="C11" s="70">
        <v>9</v>
      </c>
      <c r="D11" s="59"/>
      <c r="E11" s="59"/>
      <c r="F11" s="59"/>
      <c r="G11" s="60"/>
    </row>
    <row r="12" spans="1:7" ht="20.5" x14ac:dyDescent="0.25">
      <c r="A12" s="58"/>
      <c r="B12" s="63" t="s">
        <v>11</v>
      </c>
      <c r="C12" s="71">
        <v>4</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3" t="s">
        <v>19</v>
      </c>
      <c r="C19" s="94"/>
      <c r="D19" s="59"/>
      <c r="E19" s="59"/>
      <c r="F19" s="59"/>
      <c r="G19" s="60"/>
    </row>
    <row r="20" spans="1:7" ht="20.5" x14ac:dyDescent="0.25">
      <c r="A20" s="78"/>
      <c r="B20" s="79" t="s">
        <v>20</v>
      </c>
      <c r="C20" s="80" t="s">
        <v>21</v>
      </c>
      <c r="D20" s="59"/>
      <c r="E20" s="59"/>
      <c r="F20" s="59"/>
      <c r="G20" s="60"/>
    </row>
    <row r="21" spans="1:7" ht="20.5" x14ac:dyDescent="0.25">
      <c r="A21" s="78"/>
      <c r="B21" s="79">
        <v>1</v>
      </c>
      <c r="C21" s="69" t="s">
        <v>28</v>
      </c>
      <c r="D21" s="59"/>
      <c r="E21" s="59"/>
      <c r="F21" s="59"/>
      <c r="G21" s="60"/>
    </row>
    <row r="22" spans="1:7" ht="20.5" x14ac:dyDescent="0.25">
      <c r="A22" s="78"/>
      <c r="B22" s="79">
        <v>2</v>
      </c>
      <c r="C22" s="70" t="s">
        <v>29</v>
      </c>
      <c r="D22" s="59"/>
      <c r="E22" s="59"/>
      <c r="F22" s="59"/>
      <c r="G22" s="60"/>
    </row>
    <row r="23" spans="1:7" ht="20.5" x14ac:dyDescent="0.25">
      <c r="A23" s="78"/>
      <c r="B23" s="81">
        <v>3</v>
      </c>
      <c r="C23" s="70" t="s">
        <v>30</v>
      </c>
      <c r="D23" s="59"/>
      <c r="E23" s="59"/>
      <c r="F23" s="59"/>
      <c r="G23" s="60"/>
    </row>
    <row r="24" spans="1:7" ht="20.5" x14ac:dyDescent="0.25">
      <c r="A24" s="78"/>
      <c r="B24" s="79">
        <v>4</v>
      </c>
      <c r="C24" s="70" t="s">
        <v>31</v>
      </c>
      <c r="D24" s="59"/>
      <c r="E24" s="59"/>
      <c r="F24" s="59"/>
      <c r="G24" s="60"/>
    </row>
    <row r="25" spans="1:7" ht="20.5" x14ac:dyDescent="0.25">
      <c r="A25" s="78"/>
      <c r="B25" s="79">
        <v>5</v>
      </c>
      <c r="C25" s="70" t="s">
        <v>32</v>
      </c>
      <c r="D25" s="59"/>
      <c r="E25" s="59"/>
      <c r="F25" s="59"/>
      <c r="G25" s="60"/>
    </row>
    <row r="26" spans="1:7" ht="20.5" x14ac:dyDescent="0.25">
      <c r="A26" s="78"/>
      <c r="B26" s="81">
        <v>6</v>
      </c>
      <c r="C26" s="70" t="s">
        <v>33</v>
      </c>
      <c r="D26" s="59"/>
      <c r="E26" s="59"/>
      <c r="F26" s="59"/>
      <c r="G26" s="60"/>
    </row>
    <row r="27" spans="1:7" ht="20.5" x14ac:dyDescent="0.25">
      <c r="A27" s="78"/>
      <c r="B27" s="79">
        <v>7</v>
      </c>
      <c r="C27" s="70" t="s">
        <v>34</v>
      </c>
      <c r="D27" s="59"/>
      <c r="E27" s="59"/>
      <c r="F27" s="59"/>
      <c r="G27" s="60"/>
    </row>
    <row r="28" spans="1:7" ht="20.5" x14ac:dyDescent="0.25">
      <c r="A28" s="78"/>
      <c r="B28" s="79">
        <v>8</v>
      </c>
      <c r="C28" s="71" t="s">
        <v>35</v>
      </c>
      <c r="D28" s="59"/>
      <c r="E28" s="59"/>
      <c r="F28" s="59"/>
      <c r="G28" s="60"/>
    </row>
    <row r="29" spans="1:7" ht="20.5" x14ac:dyDescent="0.25">
      <c r="A29" s="78"/>
      <c r="B29" s="81">
        <v>9</v>
      </c>
      <c r="C29" s="71" t="s">
        <v>36</v>
      </c>
      <c r="D29" s="59"/>
      <c r="E29" s="59"/>
      <c r="F29" s="59"/>
      <c r="G29" s="60"/>
    </row>
    <row r="30" spans="1:7" ht="20.5" x14ac:dyDescent="0.25">
      <c r="A30" s="78"/>
      <c r="B30" s="79">
        <v>10</v>
      </c>
      <c r="C30" s="70" t="s">
        <v>42</v>
      </c>
      <c r="D30" s="59"/>
      <c r="E30" s="59"/>
      <c r="F30" s="59"/>
      <c r="G30" s="60"/>
    </row>
    <row r="31" spans="1:7" ht="20.5" x14ac:dyDescent="0.25">
      <c r="A31" s="78"/>
      <c r="B31" s="79">
        <v>11</v>
      </c>
      <c r="C31" s="70"/>
      <c r="D31" s="59"/>
      <c r="E31" s="59"/>
      <c r="F31" s="59"/>
      <c r="G31" s="60"/>
    </row>
    <row r="32" spans="1:7" ht="20.5" x14ac:dyDescent="0.25">
      <c r="A32" s="78"/>
      <c r="B32" s="81">
        <v>12</v>
      </c>
      <c r="C32" s="70"/>
      <c r="D32" s="59"/>
      <c r="E32" s="59"/>
      <c r="F32" s="59"/>
      <c r="G32" s="60"/>
    </row>
    <row r="33" spans="1:7" ht="20.5" x14ac:dyDescent="0.25">
      <c r="A33" s="78"/>
      <c r="B33" s="79">
        <v>13</v>
      </c>
      <c r="C33" s="70"/>
      <c r="D33" s="59"/>
      <c r="E33" s="59"/>
      <c r="F33" s="59"/>
      <c r="G33" s="60"/>
    </row>
    <row r="34" spans="1:7" ht="20.5" x14ac:dyDescent="0.25">
      <c r="A34" s="78"/>
      <c r="B34" s="79">
        <v>14</v>
      </c>
      <c r="C34" s="71"/>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12700</xdr:colOff>
                <xdr:row>5</xdr:row>
                <xdr:rowOff>12700</xdr:rowOff>
              </from>
              <to>
                <xdr:col>6</xdr:col>
                <xdr:colOff>25400</xdr:colOff>
                <xdr:row>7</xdr:row>
                <xdr:rowOff>63500</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2</xdr:row>
                <xdr:rowOff>0</xdr:rowOff>
              </from>
              <to>
                <xdr:col>6</xdr:col>
                <xdr:colOff>6350</xdr:colOff>
                <xdr:row>3</xdr:row>
                <xdr:rowOff>222250</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12700</xdr:colOff>
                <xdr:row>8</xdr:row>
                <xdr:rowOff>190500</xdr:rowOff>
              </from>
              <to>
                <xdr:col>6</xdr:col>
                <xdr:colOff>44450</xdr:colOff>
                <xdr:row>10</xdr:row>
                <xdr:rowOff>146050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D7735-2071-4547-B5BD-44541678B7A2}">
  <sheetPr codeName="Feuil7"/>
  <dimension ref="A1:DZ26"/>
  <sheetViews>
    <sheetView topLeftCell="C1" workbookViewId="0">
      <selection activeCell="B1" sqref="B1"/>
    </sheetView>
  </sheetViews>
  <sheetFormatPr baseColWidth="10" defaultColWidth="1.54296875" defaultRowHeight="19.5" customHeight="1" x14ac:dyDescent="0.25"/>
  <cols>
    <col min="1" max="1" width="17.81640625" style="97" customWidth="1"/>
    <col min="2" max="2" width="51.26953125" style="97" customWidth="1"/>
    <col min="3" max="3" width="19.453125" style="97" customWidth="1"/>
    <col min="4" max="16384" width="1.54296875" style="97"/>
  </cols>
  <sheetData>
    <row r="1" spans="1:128" ht="13" thickBot="1" x14ac:dyDescent="0.3">
      <c r="B1" s="98"/>
      <c r="C1" s="98"/>
    </row>
    <row r="2" spans="1:128" ht="42.75" customHeight="1" thickBot="1" x14ac:dyDescent="0.3">
      <c r="A2" s="99"/>
      <c r="B2" s="100" t="s">
        <v>5</v>
      </c>
      <c r="C2" s="101" t="s">
        <v>18</v>
      </c>
      <c r="D2" s="102" t="s">
        <v>86</v>
      </c>
      <c r="E2" s="103"/>
      <c r="F2" s="103"/>
      <c r="G2" s="103"/>
      <c r="H2" s="103"/>
      <c r="I2" s="103"/>
      <c r="J2" s="103"/>
      <c r="K2" s="103"/>
      <c r="L2" s="103"/>
      <c r="M2" s="103"/>
      <c r="N2" s="103"/>
      <c r="O2" s="104"/>
      <c r="P2" s="102" t="s">
        <v>87</v>
      </c>
      <c r="Q2" s="103"/>
      <c r="R2" s="103"/>
      <c r="S2" s="103"/>
      <c r="T2" s="103"/>
      <c r="U2" s="103"/>
      <c r="V2" s="103"/>
      <c r="W2" s="103"/>
      <c r="X2" s="103"/>
      <c r="Y2" s="103"/>
      <c r="Z2" s="103"/>
      <c r="AA2" s="104"/>
      <c r="AB2" s="102" t="s">
        <v>88</v>
      </c>
      <c r="AC2" s="103"/>
      <c r="AD2" s="103"/>
      <c r="AE2" s="103"/>
      <c r="AF2" s="103"/>
      <c r="AG2" s="103"/>
      <c r="AH2" s="103"/>
      <c r="AI2" s="103"/>
      <c r="AJ2" s="103"/>
      <c r="AK2" s="103"/>
      <c r="AL2" s="103"/>
      <c r="AM2" s="104"/>
      <c r="AN2" s="102" t="s">
        <v>89</v>
      </c>
      <c r="AO2" s="103"/>
      <c r="AP2" s="103"/>
      <c r="AQ2" s="103"/>
      <c r="AR2" s="103"/>
      <c r="AS2" s="103"/>
      <c r="AT2" s="103"/>
      <c r="AU2" s="103"/>
      <c r="AV2" s="103"/>
      <c r="AW2" s="103"/>
      <c r="AX2" s="103"/>
      <c r="AY2" s="104"/>
      <c r="AZ2" s="102" t="s">
        <v>90</v>
      </c>
      <c r="BA2" s="103"/>
      <c r="BB2" s="103"/>
      <c r="BC2" s="103"/>
      <c r="BD2" s="103"/>
      <c r="BE2" s="103"/>
      <c r="BF2" s="103"/>
      <c r="BG2" s="103"/>
      <c r="BH2" s="103"/>
      <c r="BI2" s="103"/>
      <c r="BJ2" s="103"/>
      <c r="BK2" s="104"/>
      <c r="BL2" s="102" t="s">
        <v>91</v>
      </c>
      <c r="BM2" s="103"/>
      <c r="BN2" s="103"/>
      <c r="BO2" s="103"/>
      <c r="BP2" s="103"/>
      <c r="BQ2" s="103"/>
      <c r="BR2" s="103"/>
      <c r="BS2" s="103"/>
      <c r="BT2" s="103"/>
      <c r="BU2" s="103"/>
      <c r="BV2" s="103"/>
      <c r="BW2" s="104"/>
      <c r="BX2" s="102" t="s">
        <v>92</v>
      </c>
      <c r="BY2" s="103"/>
      <c r="BZ2" s="103"/>
      <c r="CA2" s="103"/>
      <c r="CB2" s="103"/>
      <c r="CC2" s="103"/>
      <c r="CD2" s="103"/>
      <c r="CE2" s="103"/>
      <c r="CF2" s="103"/>
      <c r="CG2" s="103"/>
      <c r="CH2" s="103"/>
      <c r="CI2" s="104"/>
      <c r="CJ2" s="102" t="s">
        <v>93</v>
      </c>
      <c r="CK2" s="103"/>
      <c r="CL2" s="103"/>
      <c r="CM2" s="103"/>
      <c r="CN2" s="103"/>
      <c r="CO2" s="103"/>
      <c r="CP2" s="103"/>
      <c r="CQ2" s="103"/>
      <c r="CR2" s="103"/>
      <c r="CS2" s="103"/>
      <c r="CT2" s="103"/>
      <c r="CU2" s="104"/>
      <c r="CV2" s="102" t="s">
        <v>94</v>
      </c>
      <c r="CW2" s="103"/>
      <c r="CX2" s="103"/>
      <c r="CY2" s="103"/>
      <c r="CZ2" s="103"/>
      <c r="DA2" s="103"/>
      <c r="DB2" s="103"/>
      <c r="DC2" s="103"/>
      <c r="DD2" s="103"/>
      <c r="DE2" s="103"/>
      <c r="DF2" s="103"/>
      <c r="DG2" s="104"/>
    </row>
    <row r="3" spans="1:128" ht="19.5" customHeight="1" x14ac:dyDescent="0.25">
      <c r="A3" s="99"/>
      <c r="B3" s="105" t="s">
        <v>21</v>
      </c>
      <c r="C3" s="106">
        <v>12</v>
      </c>
      <c r="D3" s="107"/>
      <c r="E3" s="108"/>
      <c r="F3" s="109"/>
      <c r="G3" s="110"/>
      <c r="H3" s="108"/>
      <c r="I3" s="109"/>
      <c r="J3" s="110"/>
      <c r="K3" s="108"/>
      <c r="L3" s="109"/>
      <c r="M3" s="110"/>
      <c r="N3" s="108"/>
      <c r="O3" s="111"/>
      <c r="P3" s="107"/>
      <c r="Q3" s="108"/>
      <c r="R3" s="109"/>
      <c r="S3" s="110"/>
      <c r="T3" s="108"/>
      <c r="U3" s="109"/>
      <c r="V3" s="110"/>
      <c r="W3" s="108"/>
      <c r="X3" s="109"/>
      <c r="Y3" s="110"/>
      <c r="Z3" s="108"/>
      <c r="AA3" s="111"/>
      <c r="AB3" s="141"/>
      <c r="AC3" s="142"/>
      <c r="AD3" s="143"/>
      <c r="AE3" s="144"/>
      <c r="AF3" s="142"/>
      <c r="AG3" s="143"/>
      <c r="AH3" s="144"/>
      <c r="AI3" s="142"/>
      <c r="AJ3" s="143"/>
      <c r="AK3" s="144"/>
      <c r="AL3" s="142"/>
      <c r="AM3" s="145"/>
      <c r="AN3" s="107"/>
      <c r="AO3" s="108"/>
      <c r="AP3" s="109"/>
      <c r="AQ3" s="110"/>
      <c r="AR3" s="108"/>
      <c r="AS3" s="109"/>
      <c r="AT3" s="110"/>
      <c r="AU3" s="108"/>
      <c r="AV3" s="109"/>
      <c r="AW3" s="110"/>
      <c r="AX3" s="108"/>
      <c r="AY3" s="111"/>
      <c r="AZ3" s="107"/>
      <c r="BA3" s="108"/>
      <c r="BB3" s="109"/>
      <c r="BC3" s="110"/>
      <c r="BD3" s="108"/>
      <c r="BE3" s="109"/>
      <c r="BF3" s="110"/>
      <c r="BG3" s="108"/>
      <c r="BH3" s="109"/>
      <c r="BI3" s="110"/>
      <c r="BJ3" s="108"/>
      <c r="BK3" s="111"/>
      <c r="BL3" s="107"/>
      <c r="BM3" s="108"/>
      <c r="BN3" s="109"/>
      <c r="BO3" s="110"/>
      <c r="BP3" s="108"/>
      <c r="BQ3" s="109"/>
      <c r="BR3" s="110"/>
      <c r="BS3" s="108"/>
      <c r="BT3" s="109"/>
      <c r="BU3" s="110"/>
      <c r="BV3" s="108"/>
      <c r="BW3" s="111"/>
      <c r="BX3" s="107"/>
      <c r="BY3" s="108"/>
      <c r="BZ3" s="109"/>
      <c r="CA3" s="110"/>
      <c r="CB3" s="108"/>
      <c r="CC3" s="109"/>
      <c r="CD3" s="110"/>
      <c r="CE3" s="108"/>
      <c r="CF3" s="109"/>
      <c r="CG3" s="110"/>
      <c r="CH3" s="108"/>
      <c r="CI3" s="111"/>
      <c r="CJ3" s="107"/>
      <c r="CK3" s="108"/>
      <c r="CL3" s="109"/>
      <c r="CM3" s="110"/>
      <c r="CN3" s="108"/>
      <c r="CO3" s="109"/>
      <c r="CP3" s="110"/>
      <c r="CQ3" s="108"/>
      <c r="CR3" s="109"/>
      <c r="CS3" s="110"/>
      <c r="CT3" s="108"/>
      <c r="CU3" s="111"/>
      <c r="CV3" s="107"/>
      <c r="CW3" s="108"/>
      <c r="CX3" s="109"/>
      <c r="CY3" s="110"/>
      <c r="CZ3" s="108"/>
      <c r="DA3" s="109"/>
      <c r="DB3" s="110"/>
      <c r="DC3" s="108"/>
      <c r="DD3" s="109"/>
      <c r="DE3" s="110"/>
      <c r="DF3" s="108"/>
      <c r="DG3" s="111"/>
    </row>
    <row r="4" spans="1:128" ht="19.5" customHeight="1" thickBot="1" x14ac:dyDescent="0.3">
      <c r="A4" s="99"/>
      <c r="B4" s="112"/>
      <c r="C4" s="113">
        <v>31</v>
      </c>
      <c r="D4" s="114"/>
      <c r="E4" s="115"/>
      <c r="F4" s="116"/>
      <c r="G4" s="117"/>
      <c r="H4" s="115"/>
      <c r="I4" s="116"/>
      <c r="J4" s="117"/>
      <c r="K4" s="115"/>
      <c r="L4" s="116"/>
      <c r="M4" s="117"/>
      <c r="N4" s="115"/>
      <c r="O4" s="118"/>
      <c r="P4" s="114"/>
      <c r="Q4" s="115"/>
      <c r="R4" s="116"/>
      <c r="S4" s="117"/>
      <c r="T4" s="115"/>
      <c r="U4" s="116"/>
      <c r="V4" s="117"/>
      <c r="W4" s="115"/>
      <c r="X4" s="116"/>
      <c r="Y4" s="117"/>
      <c r="Z4" s="115"/>
      <c r="AA4" s="118"/>
      <c r="AB4" s="135"/>
      <c r="AC4" s="136"/>
      <c r="AD4" s="137"/>
      <c r="AE4" s="138"/>
      <c r="AF4" s="136"/>
      <c r="AG4" s="137"/>
      <c r="AH4" s="138"/>
      <c r="AI4" s="136"/>
      <c r="AJ4" s="137"/>
      <c r="AK4" s="138"/>
      <c r="AL4" s="136"/>
      <c r="AM4" s="139"/>
      <c r="AN4" s="135"/>
      <c r="AO4" s="136"/>
      <c r="AP4" s="137"/>
      <c r="AQ4" s="138"/>
      <c r="AR4" s="136"/>
      <c r="AS4" s="137"/>
      <c r="AT4" s="138"/>
      <c r="AU4" s="136"/>
      <c r="AV4" s="137"/>
      <c r="AW4" s="138"/>
      <c r="AX4" s="136"/>
      <c r="AY4" s="139"/>
      <c r="AZ4" s="114"/>
      <c r="BA4" s="115"/>
      <c r="BB4" s="116"/>
      <c r="BC4" s="117"/>
      <c r="BD4" s="115"/>
      <c r="BE4" s="116"/>
      <c r="BF4" s="117"/>
      <c r="BG4" s="115"/>
      <c r="BH4" s="116"/>
      <c r="BI4" s="117"/>
      <c r="BJ4" s="136"/>
      <c r="BK4" s="139"/>
      <c r="BL4" s="114"/>
      <c r="BM4" s="115"/>
      <c r="BN4" s="116"/>
      <c r="BO4" s="117"/>
      <c r="BP4" s="115"/>
      <c r="BQ4" s="116"/>
      <c r="BR4" s="117"/>
      <c r="BS4" s="115"/>
      <c r="BT4" s="116"/>
      <c r="BU4" s="117"/>
      <c r="BV4" s="115"/>
      <c r="BW4" s="118"/>
      <c r="BX4" s="114"/>
      <c r="BY4" s="115"/>
      <c r="BZ4" s="116"/>
      <c r="CA4" s="117"/>
      <c r="CB4" s="115"/>
      <c r="CC4" s="116"/>
      <c r="CD4" s="117"/>
      <c r="CE4" s="115"/>
      <c r="CF4" s="116"/>
      <c r="CG4" s="117"/>
      <c r="CH4" s="115"/>
      <c r="CI4" s="118"/>
      <c r="CJ4" s="114"/>
      <c r="CK4" s="115"/>
      <c r="CL4" s="116"/>
      <c r="CM4" s="117"/>
      <c r="CN4" s="115"/>
      <c r="CO4" s="116"/>
      <c r="CP4" s="117"/>
      <c r="CQ4" s="115"/>
      <c r="CR4" s="116"/>
      <c r="CS4" s="117"/>
      <c r="CT4" s="115"/>
      <c r="CU4" s="118"/>
      <c r="CV4" s="114"/>
      <c r="CW4" s="115"/>
      <c r="CX4" s="116"/>
      <c r="CY4" s="117"/>
      <c r="CZ4" s="136"/>
      <c r="DA4" s="137"/>
      <c r="DB4" s="138"/>
      <c r="DC4" s="136"/>
      <c r="DD4" s="137"/>
      <c r="DE4" s="117"/>
      <c r="DF4" s="115"/>
      <c r="DG4" s="118"/>
    </row>
    <row r="5" spans="1:128" ht="19.5" customHeight="1" x14ac:dyDescent="0.25">
      <c r="B5" s="119" t="str">
        <f>Donnees!$C$21</f>
        <v>Faire</v>
      </c>
      <c r="C5" s="120">
        <v>36</v>
      </c>
      <c r="D5" s="107"/>
      <c r="E5" s="108"/>
      <c r="F5" s="109"/>
      <c r="G5" s="110"/>
      <c r="H5" s="108"/>
      <c r="I5" s="109"/>
      <c r="J5" s="110"/>
      <c r="K5" s="108"/>
      <c r="L5" s="109"/>
      <c r="M5" s="110"/>
      <c r="N5" s="108"/>
      <c r="O5" s="111"/>
      <c r="P5" s="107"/>
      <c r="Q5" s="108"/>
      <c r="R5" s="109"/>
      <c r="S5" s="144"/>
      <c r="T5" s="142"/>
      <c r="U5" s="143"/>
      <c r="V5" s="144"/>
      <c r="W5" s="142"/>
      <c r="X5" s="143"/>
      <c r="Y5" s="144"/>
      <c r="Z5" s="142"/>
      <c r="AA5" s="111"/>
      <c r="AB5" s="107"/>
      <c r="AC5" s="108"/>
      <c r="AD5" s="109"/>
      <c r="AE5" s="110"/>
      <c r="AF5" s="108"/>
      <c r="AG5" s="109"/>
      <c r="AH5" s="110"/>
      <c r="AI5" s="108"/>
      <c r="AJ5" s="109"/>
      <c r="AK5" s="110"/>
      <c r="AL5" s="108"/>
      <c r="AM5" s="111"/>
      <c r="AN5" s="141"/>
      <c r="AO5" s="142"/>
      <c r="AP5" s="143"/>
      <c r="AQ5" s="144"/>
      <c r="AR5" s="142"/>
      <c r="AS5" s="143"/>
      <c r="AT5" s="144"/>
      <c r="AU5" s="142"/>
      <c r="AV5" s="109"/>
      <c r="AW5" s="110"/>
      <c r="AX5" s="108"/>
      <c r="AY5" s="111"/>
      <c r="AZ5" s="141"/>
      <c r="BA5" s="142"/>
      <c r="BB5" s="143"/>
      <c r="BC5" s="144"/>
      <c r="BD5" s="142"/>
      <c r="BE5" s="143"/>
      <c r="BF5" s="144"/>
      <c r="BG5" s="142"/>
      <c r="BH5" s="109"/>
      <c r="BI5" s="110"/>
      <c r="BJ5" s="108"/>
      <c r="BK5" s="111"/>
      <c r="BL5" s="107"/>
      <c r="BM5" s="108"/>
      <c r="BN5" s="109"/>
      <c r="BO5" s="110"/>
      <c r="BP5" s="108"/>
      <c r="BQ5" s="109"/>
      <c r="BR5" s="110"/>
      <c r="BS5" s="108"/>
      <c r="BT5" s="109"/>
      <c r="BU5" s="110"/>
      <c r="BV5" s="108"/>
      <c r="BW5" s="111"/>
      <c r="BX5" s="107"/>
      <c r="BY5" s="108"/>
      <c r="BZ5" s="109"/>
      <c r="CA5" s="110"/>
      <c r="CB5" s="108"/>
      <c r="CC5" s="109"/>
      <c r="CD5" s="110"/>
      <c r="CE5" s="108"/>
      <c r="CF5" s="109"/>
      <c r="CG5" s="110"/>
      <c r="CH5" s="108"/>
      <c r="CI5" s="111"/>
      <c r="CJ5" s="107"/>
      <c r="CK5" s="108"/>
      <c r="CL5" s="109"/>
      <c r="CM5" s="110"/>
      <c r="CN5" s="108"/>
      <c r="CO5" s="109"/>
      <c r="CP5" s="110"/>
      <c r="CQ5" s="108"/>
      <c r="CR5" s="109"/>
      <c r="CS5" s="110"/>
      <c r="CT5" s="108"/>
      <c r="CU5" s="111"/>
      <c r="CV5" s="141"/>
      <c r="CW5" s="142"/>
      <c r="CX5" s="143"/>
      <c r="CY5" s="144"/>
      <c r="CZ5" s="142"/>
      <c r="DA5" s="143"/>
      <c r="DB5" s="144"/>
      <c r="DC5" s="142"/>
      <c r="DD5" s="143"/>
      <c r="DE5" s="144"/>
      <c r="DF5" s="142"/>
      <c r="DG5" s="145"/>
      <c r="DH5" s="146"/>
      <c r="DI5" s="146"/>
      <c r="DJ5" s="146"/>
    </row>
    <row r="6" spans="1:128" ht="19.5" customHeight="1" thickBot="1" x14ac:dyDescent="0.3">
      <c r="B6" s="121"/>
      <c r="C6" s="122">
        <v>22</v>
      </c>
      <c r="D6" s="114"/>
      <c r="E6" s="115"/>
      <c r="F6" s="116"/>
      <c r="G6" s="117"/>
      <c r="H6" s="115"/>
      <c r="I6" s="116"/>
      <c r="J6" s="117"/>
      <c r="K6" s="115"/>
      <c r="L6" s="116"/>
      <c r="M6" s="117"/>
      <c r="N6" s="115"/>
      <c r="O6" s="118"/>
      <c r="P6" s="114"/>
      <c r="Q6" s="115"/>
      <c r="R6" s="137"/>
      <c r="S6" s="138"/>
      <c r="T6" s="136"/>
      <c r="U6" s="137"/>
      <c r="V6" s="138"/>
      <c r="W6" s="136"/>
      <c r="X6" s="116"/>
      <c r="Y6" s="117"/>
      <c r="Z6" s="136"/>
      <c r="AA6" s="139"/>
      <c r="AB6" s="114"/>
      <c r="AC6" s="115"/>
      <c r="AD6" s="116"/>
      <c r="AE6" s="117"/>
      <c r="AF6" s="115"/>
      <c r="AG6" s="116"/>
      <c r="AH6" s="117"/>
      <c r="AI6" s="115"/>
      <c r="AJ6" s="116"/>
      <c r="AK6" s="117"/>
      <c r="AL6" s="115"/>
      <c r="AM6" s="118"/>
      <c r="AN6" s="114"/>
      <c r="AO6" s="115"/>
      <c r="AP6" s="116"/>
      <c r="AQ6" s="117"/>
      <c r="AR6" s="115"/>
      <c r="AS6" s="116"/>
      <c r="AT6" s="117"/>
      <c r="AU6" s="115"/>
      <c r="AV6" s="116"/>
      <c r="AW6" s="117"/>
      <c r="AX6" s="115"/>
      <c r="AY6" s="118"/>
      <c r="AZ6" s="135"/>
      <c r="BA6" s="136"/>
      <c r="BB6" s="137"/>
      <c r="BC6" s="138"/>
      <c r="BD6" s="136"/>
      <c r="BE6" s="137"/>
      <c r="BF6" s="117"/>
      <c r="BG6" s="115"/>
      <c r="BH6" s="116"/>
      <c r="BI6" s="117"/>
      <c r="BJ6" s="115"/>
      <c r="BK6" s="118"/>
      <c r="BL6" s="135"/>
      <c r="BM6" s="136"/>
      <c r="BN6" s="137"/>
      <c r="BO6" s="138"/>
      <c r="BP6" s="136"/>
      <c r="BQ6" s="137"/>
      <c r="BR6" s="138"/>
      <c r="BS6" s="136"/>
      <c r="BT6" s="116"/>
      <c r="BU6" s="117"/>
      <c r="BV6" s="115"/>
      <c r="BW6" s="118"/>
      <c r="BX6" s="114"/>
      <c r="BY6" s="115"/>
      <c r="BZ6" s="116"/>
      <c r="CA6" s="117"/>
      <c r="CB6" s="115"/>
      <c r="CC6" s="116"/>
      <c r="CD6" s="117"/>
      <c r="CE6" s="115"/>
      <c r="CF6" s="116"/>
      <c r="CG6" s="117"/>
      <c r="CH6" s="115"/>
      <c r="CI6" s="118"/>
      <c r="CJ6" s="114"/>
      <c r="CK6" s="115"/>
      <c r="CL6" s="116"/>
      <c r="CM6" s="117"/>
      <c r="CN6" s="115"/>
      <c r="CO6" s="116"/>
      <c r="CP6" s="117"/>
      <c r="CQ6" s="115"/>
      <c r="CR6" s="116"/>
      <c r="CS6" s="117"/>
      <c r="CT6" s="115"/>
      <c r="CU6" s="118"/>
      <c r="CV6" s="114"/>
      <c r="CW6" s="115"/>
      <c r="CX6" s="116"/>
      <c r="CY6" s="117"/>
      <c r="CZ6" s="115"/>
      <c r="DA6" s="116"/>
      <c r="DB6" s="117"/>
      <c r="DC6" s="115"/>
      <c r="DD6" s="116"/>
      <c r="DE6" s="117"/>
      <c r="DF6" s="115"/>
      <c r="DG6" s="118"/>
      <c r="DO6" s="140"/>
      <c r="DP6" s="140"/>
      <c r="DQ6" s="140"/>
      <c r="DR6" s="140"/>
      <c r="DS6" s="140"/>
      <c r="DT6" s="140"/>
      <c r="DU6" s="140"/>
      <c r="DV6" s="140"/>
    </row>
    <row r="7" spans="1:128" ht="19.5" customHeight="1" x14ac:dyDescent="0.25">
      <c r="B7" s="123" t="str">
        <f>Donnees!$C$22</f>
        <v>Coder</v>
      </c>
      <c r="C7" s="120">
        <v>35</v>
      </c>
      <c r="D7" s="107"/>
      <c r="E7" s="108"/>
      <c r="F7" s="109"/>
      <c r="G7" s="110"/>
      <c r="H7" s="108"/>
      <c r="I7" s="109"/>
      <c r="J7" s="110"/>
      <c r="K7" s="108"/>
      <c r="L7" s="109"/>
      <c r="M7" s="110"/>
      <c r="N7" s="108"/>
      <c r="O7" s="111"/>
      <c r="P7" s="107"/>
      <c r="Q7" s="108"/>
      <c r="R7" s="109"/>
      <c r="S7" s="110"/>
      <c r="T7" s="108"/>
      <c r="U7" s="109"/>
      <c r="V7" s="110"/>
      <c r="W7" s="108"/>
      <c r="X7" s="109"/>
      <c r="Y7" s="110"/>
      <c r="Z7" s="108"/>
      <c r="AA7" s="111"/>
      <c r="AB7" s="107"/>
      <c r="AC7" s="108"/>
      <c r="AD7" s="109"/>
      <c r="AE7" s="110"/>
      <c r="AF7" s="108"/>
      <c r="AG7" s="109"/>
      <c r="AH7" s="110"/>
      <c r="AI7" s="108"/>
      <c r="AJ7" s="109"/>
      <c r="AK7" s="110"/>
      <c r="AL7" s="108"/>
      <c r="AM7" s="111"/>
      <c r="AN7" s="107"/>
      <c r="AO7" s="108"/>
      <c r="AP7" s="109"/>
      <c r="AQ7" s="110"/>
      <c r="AR7" s="108"/>
      <c r="AS7" s="109"/>
      <c r="AT7" s="110"/>
      <c r="AU7" s="108"/>
      <c r="AV7" s="143"/>
      <c r="AW7" s="144"/>
      <c r="AX7" s="142"/>
      <c r="AY7" s="145"/>
      <c r="AZ7" s="107"/>
      <c r="BA7" s="108"/>
      <c r="BB7" s="109"/>
      <c r="BC7" s="110"/>
      <c r="BD7" s="108"/>
      <c r="BE7" s="109"/>
      <c r="BF7" s="110"/>
      <c r="BG7" s="108"/>
      <c r="BH7" s="143"/>
      <c r="BI7" s="144"/>
      <c r="BJ7" s="142"/>
      <c r="BK7" s="145"/>
      <c r="BL7" s="141"/>
      <c r="BM7" s="142"/>
      <c r="BN7" s="143"/>
      <c r="BO7" s="144"/>
      <c r="BP7" s="142"/>
      <c r="BQ7" s="143"/>
      <c r="BR7" s="144"/>
      <c r="BS7" s="142"/>
      <c r="BT7" s="143"/>
      <c r="BU7" s="144"/>
      <c r="BV7" s="142"/>
      <c r="BW7" s="145"/>
      <c r="BX7" s="141"/>
      <c r="BY7" s="142"/>
      <c r="BZ7" s="143"/>
      <c r="CA7" s="144"/>
      <c r="CB7" s="142"/>
      <c r="CC7" s="109"/>
      <c r="CD7" s="110"/>
      <c r="CE7" s="108"/>
      <c r="CF7" s="143"/>
      <c r="CG7" s="144"/>
      <c r="CH7" s="142"/>
      <c r="CI7" s="111"/>
      <c r="CJ7" s="107"/>
      <c r="CK7" s="108"/>
      <c r="CL7" s="109"/>
      <c r="CM7" s="110"/>
      <c r="CN7" s="108"/>
      <c r="CO7" s="143"/>
      <c r="CP7" s="144"/>
      <c r="CQ7" s="142"/>
      <c r="CR7" s="143"/>
      <c r="CS7" s="144"/>
      <c r="CT7" s="142"/>
      <c r="CU7" s="145"/>
      <c r="CV7" s="107"/>
      <c r="CW7" s="108"/>
      <c r="CX7" s="109"/>
      <c r="CY7" s="110"/>
      <c r="CZ7" s="108"/>
      <c r="DA7" s="109"/>
      <c r="DB7" s="110"/>
      <c r="DC7" s="108"/>
      <c r="DD7" s="109"/>
      <c r="DE7" s="110"/>
      <c r="DF7" s="108"/>
      <c r="DG7" s="111"/>
      <c r="DK7" s="146"/>
      <c r="DL7" s="146"/>
      <c r="DM7" s="146"/>
      <c r="DN7" s="146"/>
    </row>
    <row r="8" spans="1:128" ht="19.5" customHeight="1" thickBot="1" x14ac:dyDescent="0.3">
      <c r="B8" s="121"/>
      <c r="C8" s="122">
        <v>28</v>
      </c>
      <c r="D8" s="114"/>
      <c r="E8" s="115"/>
      <c r="F8" s="116"/>
      <c r="G8" s="117"/>
      <c r="H8" s="115"/>
      <c r="I8" s="116"/>
      <c r="J8" s="117"/>
      <c r="K8" s="115"/>
      <c r="L8" s="116"/>
      <c r="M8" s="117"/>
      <c r="N8" s="115"/>
      <c r="O8" s="118"/>
      <c r="P8" s="114"/>
      <c r="Q8" s="115"/>
      <c r="R8" s="116"/>
      <c r="S8" s="117"/>
      <c r="T8" s="115"/>
      <c r="U8" s="116"/>
      <c r="V8" s="117"/>
      <c r="W8" s="115"/>
      <c r="X8" s="116"/>
      <c r="Y8" s="117"/>
      <c r="Z8" s="115"/>
      <c r="AA8" s="118"/>
      <c r="AB8" s="114"/>
      <c r="AC8" s="115"/>
      <c r="AD8" s="116"/>
      <c r="AE8" s="117"/>
      <c r="AF8" s="115"/>
      <c r="AG8" s="116"/>
      <c r="AH8" s="117"/>
      <c r="AI8" s="115"/>
      <c r="AJ8" s="116"/>
      <c r="AK8" s="117"/>
      <c r="AL8" s="115"/>
      <c r="AM8" s="118"/>
      <c r="AN8" s="114"/>
      <c r="AO8" s="115"/>
      <c r="AP8" s="116"/>
      <c r="AQ8" s="117"/>
      <c r="AR8" s="115"/>
      <c r="AS8" s="116"/>
      <c r="AT8" s="117"/>
      <c r="AU8" s="115"/>
      <c r="AV8" s="116"/>
      <c r="AW8" s="117"/>
      <c r="AX8" s="115"/>
      <c r="AY8" s="118"/>
      <c r="AZ8" s="114"/>
      <c r="BA8" s="115"/>
      <c r="BB8" s="116"/>
      <c r="BC8" s="117"/>
      <c r="BD8" s="115"/>
      <c r="BE8" s="116"/>
      <c r="BF8" s="138"/>
      <c r="BG8" s="136"/>
      <c r="BH8" s="137"/>
      <c r="BI8" s="138"/>
      <c r="BJ8" s="115"/>
      <c r="BK8" s="118"/>
      <c r="BL8" s="114"/>
      <c r="BM8" s="115"/>
      <c r="BN8" s="116"/>
      <c r="BO8" s="117"/>
      <c r="BP8" s="115"/>
      <c r="BQ8" s="116"/>
      <c r="BR8" s="117"/>
      <c r="BS8" s="115"/>
      <c r="BT8" s="137"/>
      <c r="BU8" s="138"/>
      <c r="BV8" s="136"/>
      <c r="BW8" s="139"/>
      <c r="BX8" s="135"/>
      <c r="BY8" s="136"/>
      <c r="BZ8" s="137"/>
      <c r="CA8" s="138"/>
      <c r="CB8" s="136"/>
      <c r="CC8" s="137"/>
      <c r="CD8" s="138"/>
      <c r="CE8" s="136"/>
      <c r="CF8" s="137"/>
      <c r="CG8" s="138"/>
      <c r="CH8" s="136"/>
      <c r="CI8" s="139"/>
      <c r="CJ8" s="135"/>
      <c r="CK8" s="136"/>
      <c r="CL8" s="137"/>
      <c r="CM8" s="138"/>
      <c r="CN8" s="136"/>
      <c r="CO8" s="137"/>
      <c r="CP8" s="117"/>
      <c r="CQ8" s="115"/>
      <c r="CR8" s="116"/>
      <c r="CS8" s="138"/>
      <c r="CT8" s="136"/>
      <c r="CU8" s="118"/>
      <c r="CV8" s="114"/>
      <c r="CW8" s="115"/>
      <c r="CX8" s="116"/>
      <c r="CY8" s="117"/>
      <c r="CZ8" s="115"/>
      <c r="DA8" s="116"/>
      <c r="DB8" s="117"/>
      <c r="DC8" s="115"/>
      <c r="DD8" s="116"/>
      <c r="DE8" s="117"/>
      <c r="DF8" s="115"/>
      <c r="DG8" s="118"/>
      <c r="DH8" s="140"/>
      <c r="DI8" s="140"/>
      <c r="DJ8" s="140"/>
      <c r="DK8" s="140"/>
      <c r="DL8" s="140"/>
      <c r="DM8" s="140"/>
      <c r="DN8" s="140"/>
      <c r="DW8" s="140"/>
      <c r="DX8" s="140"/>
    </row>
    <row r="9" spans="1:128" ht="19.5" customHeight="1" x14ac:dyDescent="0.25">
      <c r="B9" s="123" t="str">
        <f>Donnees!$C$23</f>
        <v>Implémanter</v>
      </c>
      <c r="C9" s="120">
        <v>9</v>
      </c>
      <c r="D9" s="107"/>
      <c r="E9" s="108"/>
      <c r="F9" s="109"/>
      <c r="G9" s="110"/>
      <c r="H9" s="108"/>
      <c r="I9" s="109"/>
      <c r="J9" s="110"/>
      <c r="K9" s="108"/>
      <c r="L9" s="109"/>
      <c r="M9" s="110"/>
      <c r="N9" s="108"/>
      <c r="O9" s="111"/>
      <c r="P9" s="107"/>
      <c r="Q9" s="108"/>
      <c r="R9" s="109"/>
      <c r="S9" s="110"/>
      <c r="T9" s="108"/>
      <c r="U9" s="109"/>
      <c r="V9" s="110"/>
      <c r="W9" s="108"/>
      <c r="X9" s="109"/>
      <c r="Y9" s="110"/>
      <c r="Z9" s="108"/>
      <c r="AA9" s="111"/>
      <c r="AB9" s="107"/>
      <c r="AC9" s="108"/>
      <c r="AD9" s="109"/>
      <c r="AE9" s="110"/>
      <c r="AF9" s="108"/>
      <c r="AG9" s="109"/>
      <c r="AH9" s="110"/>
      <c r="AI9" s="108"/>
      <c r="AJ9" s="109"/>
      <c r="AK9" s="110"/>
      <c r="AL9" s="108"/>
      <c r="AM9" s="111"/>
      <c r="AN9" s="107"/>
      <c r="AO9" s="108"/>
      <c r="AP9" s="109"/>
      <c r="AQ9" s="110"/>
      <c r="AR9" s="108"/>
      <c r="AS9" s="109"/>
      <c r="AT9" s="110"/>
      <c r="AU9" s="108"/>
      <c r="AV9" s="109"/>
      <c r="AW9" s="110"/>
      <c r="AX9" s="108"/>
      <c r="AY9" s="111"/>
      <c r="AZ9" s="107"/>
      <c r="BA9" s="108"/>
      <c r="BB9" s="109"/>
      <c r="BC9" s="110"/>
      <c r="BD9" s="108"/>
      <c r="BE9" s="109"/>
      <c r="BF9" s="110"/>
      <c r="BG9" s="108"/>
      <c r="BH9" s="109"/>
      <c r="BI9" s="110"/>
      <c r="BJ9" s="108"/>
      <c r="BK9" s="111"/>
      <c r="BL9" s="107"/>
      <c r="BM9" s="108"/>
      <c r="BN9" s="109"/>
      <c r="BO9" s="110"/>
      <c r="BP9" s="108"/>
      <c r="BQ9" s="109"/>
      <c r="BR9" s="110"/>
      <c r="BS9" s="108"/>
      <c r="BT9" s="109"/>
      <c r="BU9" s="110"/>
      <c r="BV9" s="108"/>
      <c r="BW9" s="111"/>
      <c r="BX9" s="107"/>
      <c r="BY9" s="108"/>
      <c r="BZ9" s="109"/>
      <c r="CA9" s="110"/>
      <c r="CB9" s="108"/>
      <c r="CC9" s="143"/>
      <c r="CD9" s="144"/>
      <c r="CE9" s="142"/>
      <c r="CF9" s="109"/>
      <c r="CG9" s="110"/>
      <c r="CH9" s="108"/>
      <c r="CI9" s="145"/>
      <c r="CJ9" s="141"/>
      <c r="CK9" s="142"/>
      <c r="CL9" s="143"/>
      <c r="CM9" s="144"/>
      <c r="CN9" s="142"/>
      <c r="CO9" s="109"/>
      <c r="CP9" s="110"/>
      <c r="CQ9" s="108"/>
      <c r="CR9" s="109"/>
      <c r="CS9" s="110"/>
      <c r="CT9" s="108"/>
      <c r="CU9" s="111"/>
      <c r="CV9" s="107"/>
      <c r="CW9" s="108"/>
      <c r="CX9" s="109"/>
      <c r="CY9" s="110"/>
      <c r="CZ9" s="108"/>
      <c r="DA9" s="109"/>
      <c r="DB9" s="110"/>
      <c r="DC9" s="108"/>
      <c r="DD9" s="109"/>
      <c r="DE9" s="110"/>
      <c r="DF9" s="108"/>
      <c r="DG9" s="111"/>
    </row>
    <row r="10" spans="1:128" ht="19.5" customHeight="1" thickBot="1" x14ac:dyDescent="0.3">
      <c r="B10" s="121"/>
      <c r="C10" s="122">
        <v>11</v>
      </c>
      <c r="D10" s="114"/>
      <c r="E10" s="115"/>
      <c r="F10" s="116"/>
      <c r="G10" s="117"/>
      <c r="H10" s="115"/>
      <c r="I10" s="116"/>
      <c r="J10" s="117"/>
      <c r="K10" s="115"/>
      <c r="L10" s="116"/>
      <c r="M10" s="117"/>
      <c r="N10" s="115"/>
      <c r="O10" s="118"/>
      <c r="P10" s="114"/>
      <c r="Q10" s="115"/>
      <c r="R10" s="116"/>
      <c r="S10" s="117"/>
      <c r="T10" s="115"/>
      <c r="U10" s="116"/>
      <c r="V10" s="117"/>
      <c r="W10" s="115"/>
      <c r="X10" s="116"/>
      <c r="Y10" s="117"/>
      <c r="Z10" s="115"/>
      <c r="AA10" s="118"/>
      <c r="AB10" s="114"/>
      <c r="AC10" s="115"/>
      <c r="AD10" s="116"/>
      <c r="AE10" s="117"/>
      <c r="AF10" s="115"/>
      <c r="AG10" s="116"/>
      <c r="AH10" s="117"/>
      <c r="AI10" s="115"/>
      <c r="AJ10" s="116"/>
      <c r="AK10" s="117"/>
      <c r="AL10" s="115"/>
      <c r="AM10" s="118"/>
      <c r="AN10" s="114"/>
      <c r="AO10" s="115"/>
      <c r="AP10" s="116"/>
      <c r="AQ10" s="117"/>
      <c r="AR10" s="115"/>
      <c r="AS10" s="116"/>
      <c r="AT10" s="117"/>
      <c r="AU10" s="115"/>
      <c r="AV10" s="116"/>
      <c r="AW10" s="117"/>
      <c r="AX10" s="115"/>
      <c r="AY10" s="118"/>
      <c r="AZ10" s="114"/>
      <c r="BA10" s="115"/>
      <c r="BB10" s="116"/>
      <c r="BC10" s="117"/>
      <c r="BD10" s="115"/>
      <c r="BE10" s="116"/>
      <c r="BF10" s="117"/>
      <c r="BG10" s="115"/>
      <c r="BH10" s="116"/>
      <c r="BI10" s="117"/>
      <c r="BJ10" s="115"/>
      <c r="BK10" s="118"/>
      <c r="BL10" s="114"/>
      <c r="BM10" s="115"/>
      <c r="BN10" s="116"/>
      <c r="BO10" s="117"/>
      <c r="BP10" s="115"/>
      <c r="BQ10" s="116"/>
      <c r="BR10" s="117"/>
      <c r="BS10" s="115"/>
      <c r="BT10" s="116"/>
      <c r="BU10" s="117"/>
      <c r="BV10" s="115"/>
      <c r="BW10" s="118"/>
      <c r="BX10" s="114"/>
      <c r="BY10" s="115"/>
      <c r="BZ10" s="116"/>
      <c r="CA10" s="117"/>
      <c r="CB10" s="115"/>
      <c r="CC10" s="116"/>
      <c r="CD10" s="117"/>
      <c r="CE10" s="115"/>
      <c r="CF10" s="116"/>
      <c r="CG10" s="117"/>
      <c r="CH10" s="115"/>
      <c r="CI10" s="118"/>
      <c r="CJ10" s="114"/>
      <c r="CK10" s="115"/>
      <c r="CL10" s="116"/>
      <c r="CM10" s="117"/>
      <c r="CN10" s="115"/>
      <c r="CO10" s="116"/>
      <c r="CP10" s="138"/>
      <c r="CQ10" s="136"/>
      <c r="CR10" s="137"/>
      <c r="CS10" s="117"/>
      <c r="CT10" s="115"/>
      <c r="CU10" s="139"/>
      <c r="CV10" s="135"/>
      <c r="CW10" s="136"/>
      <c r="CX10" s="137"/>
      <c r="CY10" s="138"/>
      <c r="CZ10" s="115"/>
      <c r="DA10" s="116"/>
      <c r="DB10" s="117"/>
      <c r="DC10" s="115"/>
      <c r="DD10" s="116"/>
      <c r="DE10" s="138"/>
      <c r="DF10" s="136"/>
      <c r="DG10" s="139"/>
    </row>
    <row r="11" spans="1:128" ht="19.5" customHeight="1" x14ac:dyDescent="0.25">
      <c r="B11" s="123" t="str">
        <f>Donnees!$C$24</f>
        <v>Conceptualiser</v>
      </c>
      <c r="C11" s="120">
        <v>7</v>
      </c>
      <c r="D11" s="107"/>
      <c r="E11" s="108"/>
      <c r="F11" s="109"/>
      <c r="G11" s="110"/>
      <c r="H11" s="142"/>
      <c r="I11" s="143"/>
      <c r="J11" s="144"/>
      <c r="K11" s="142"/>
      <c r="L11" s="109"/>
      <c r="M11" s="110"/>
      <c r="N11" s="108"/>
      <c r="O11" s="111"/>
      <c r="P11" s="141"/>
      <c r="Q11" s="142"/>
      <c r="R11" s="143"/>
      <c r="S11" s="110"/>
      <c r="T11" s="108"/>
      <c r="U11" s="109"/>
      <c r="V11" s="110"/>
      <c r="W11" s="108"/>
      <c r="X11" s="109"/>
      <c r="Y11" s="110"/>
      <c r="Z11" s="108"/>
      <c r="AA11" s="111"/>
      <c r="AB11" s="107"/>
      <c r="AC11" s="108"/>
      <c r="AD11" s="109"/>
      <c r="AE11" s="110"/>
      <c r="AF11" s="108"/>
      <c r="AG11" s="109"/>
      <c r="AH11" s="110"/>
      <c r="AI11" s="108"/>
      <c r="AJ11" s="109"/>
      <c r="AK11" s="110"/>
      <c r="AL11" s="108"/>
      <c r="AM11" s="111"/>
      <c r="AN11" s="107"/>
      <c r="AO11" s="108"/>
      <c r="AP11" s="109"/>
      <c r="AQ11" s="110"/>
      <c r="AR11" s="108"/>
      <c r="AS11" s="109"/>
      <c r="AT11" s="110"/>
      <c r="AU11" s="108"/>
      <c r="AV11" s="109"/>
      <c r="AW11" s="110"/>
      <c r="AX11" s="108"/>
      <c r="AY11" s="111"/>
      <c r="AZ11" s="107"/>
      <c r="BA11" s="108"/>
      <c r="BB11" s="109"/>
      <c r="BC11" s="110"/>
      <c r="BD11" s="108"/>
      <c r="BE11" s="109"/>
      <c r="BF11" s="110"/>
      <c r="BG11" s="108"/>
      <c r="BH11" s="109"/>
      <c r="BI11" s="110"/>
      <c r="BJ11" s="108"/>
      <c r="BK11" s="111"/>
      <c r="BL11" s="107"/>
      <c r="BM11" s="108"/>
      <c r="BN11" s="109"/>
      <c r="BO11" s="110"/>
      <c r="BP11" s="108"/>
      <c r="BQ11" s="109"/>
      <c r="BR11" s="110"/>
      <c r="BS11" s="108"/>
      <c r="BT11" s="109"/>
      <c r="BU11" s="110"/>
      <c r="BV11" s="108"/>
      <c r="BW11" s="111"/>
      <c r="BX11" s="107"/>
      <c r="BY11" s="108"/>
      <c r="BZ11" s="109"/>
      <c r="CA11" s="110"/>
      <c r="CB11" s="108"/>
      <c r="CC11" s="109"/>
      <c r="CD11" s="110"/>
      <c r="CE11" s="108"/>
      <c r="CF11" s="109"/>
      <c r="CG11" s="110"/>
      <c r="CH11" s="108"/>
      <c r="CI11" s="111"/>
      <c r="CJ11" s="107"/>
      <c r="CK11" s="108"/>
      <c r="CL11" s="109"/>
      <c r="CM11" s="110"/>
      <c r="CN11" s="108"/>
      <c r="CO11" s="109"/>
      <c r="CP11" s="110"/>
      <c r="CQ11" s="108"/>
      <c r="CR11" s="109"/>
      <c r="CS11" s="110"/>
      <c r="CT11" s="108"/>
      <c r="CU11" s="111"/>
      <c r="CV11" s="107"/>
      <c r="CW11" s="108"/>
      <c r="CX11" s="109"/>
      <c r="CY11" s="110"/>
      <c r="CZ11" s="108"/>
      <c r="DA11" s="109"/>
      <c r="DB11" s="110"/>
      <c r="DC11" s="108"/>
      <c r="DD11" s="109"/>
      <c r="DE11" s="110"/>
      <c r="DF11" s="108"/>
      <c r="DG11" s="111"/>
    </row>
    <row r="12" spans="1:128" ht="19.5" customHeight="1" thickBot="1" x14ac:dyDescent="0.3">
      <c r="B12" s="121"/>
      <c r="C12" s="122">
        <v>6</v>
      </c>
      <c r="D12" s="114"/>
      <c r="E12" s="115"/>
      <c r="F12" s="116"/>
      <c r="G12" s="117"/>
      <c r="H12" s="136"/>
      <c r="I12" s="137"/>
      <c r="J12" s="138"/>
      <c r="K12" s="136"/>
      <c r="L12" s="116"/>
      <c r="M12" s="117"/>
      <c r="N12" s="115"/>
      <c r="O12" s="118"/>
      <c r="P12" s="135"/>
      <c r="Q12" s="136"/>
      <c r="R12" s="116"/>
      <c r="S12" s="117"/>
      <c r="T12" s="115"/>
      <c r="U12" s="116"/>
      <c r="V12" s="117"/>
      <c r="W12" s="115"/>
      <c r="X12" s="116"/>
      <c r="Y12" s="117"/>
      <c r="Z12" s="115"/>
      <c r="AA12" s="118"/>
      <c r="AB12" s="114"/>
      <c r="AC12" s="115"/>
      <c r="AD12" s="116"/>
      <c r="AE12" s="117"/>
      <c r="AF12" s="115"/>
      <c r="AG12" s="116"/>
      <c r="AH12" s="117"/>
      <c r="AI12" s="115"/>
      <c r="AJ12" s="116"/>
      <c r="AK12" s="117"/>
      <c r="AL12" s="115"/>
      <c r="AM12" s="118"/>
      <c r="AN12" s="114"/>
      <c r="AO12" s="115"/>
      <c r="AP12" s="116"/>
      <c r="AQ12" s="117"/>
      <c r="AR12" s="115"/>
      <c r="AS12" s="116"/>
      <c r="AT12" s="117"/>
      <c r="AU12" s="115"/>
      <c r="AV12" s="116"/>
      <c r="AW12" s="117"/>
      <c r="AX12" s="115"/>
      <c r="AY12" s="118"/>
      <c r="AZ12" s="114"/>
      <c r="BA12" s="115"/>
      <c r="BB12" s="116"/>
      <c r="BC12" s="117"/>
      <c r="BD12" s="115"/>
      <c r="BE12" s="116"/>
      <c r="BF12" s="117"/>
      <c r="BG12" s="115"/>
      <c r="BH12" s="116"/>
      <c r="BI12" s="117"/>
      <c r="BJ12" s="115"/>
      <c r="BK12" s="118"/>
      <c r="BL12" s="114"/>
      <c r="BM12" s="115"/>
      <c r="BN12" s="116"/>
      <c r="BO12" s="117"/>
      <c r="BP12" s="115"/>
      <c r="BQ12" s="116"/>
      <c r="BR12" s="117"/>
      <c r="BS12" s="115"/>
      <c r="BT12" s="116"/>
      <c r="BU12" s="117"/>
      <c r="BV12" s="115"/>
      <c r="BW12" s="118"/>
      <c r="BX12" s="114"/>
      <c r="BY12" s="115"/>
      <c r="BZ12" s="116"/>
      <c r="CA12" s="117"/>
      <c r="CB12" s="115"/>
      <c r="CC12" s="116"/>
      <c r="CD12" s="117"/>
      <c r="CE12" s="115"/>
      <c r="CF12" s="116"/>
      <c r="CG12" s="117"/>
      <c r="CH12" s="115"/>
      <c r="CI12" s="118"/>
      <c r="CJ12" s="114"/>
      <c r="CK12" s="115"/>
      <c r="CL12" s="116"/>
      <c r="CM12" s="117"/>
      <c r="CN12" s="115"/>
      <c r="CO12" s="116"/>
      <c r="CP12" s="117"/>
      <c r="CQ12" s="115"/>
      <c r="CR12" s="116"/>
      <c r="CS12" s="117"/>
      <c r="CT12" s="115"/>
      <c r="CU12" s="118"/>
      <c r="CV12" s="114"/>
      <c r="CW12" s="115"/>
      <c r="CX12" s="116"/>
      <c r="CY12" s="117"/>
      <c r="CZ12" s="115"/>
      <c r="DA12" s="116"/>
      <c r="DB12" s="117"/>
      <c r="DC12" s="115"/>
      <c r="DD12" s="116"/>
      <c r="DE12" s="117"/>
      <c r="DF12" s="115"/>
      <c r="DG12" s="118"/>
    </row>
    <row r="13" spans="1:128" ht="19.5" customHeight="1" x14ac:dyDescent="0.25">
      <c r="B13" s="123" t="str">
        <f>Donnees!$C$25</f>
        <v>Tester</v>
      </c>
      <c r="C13" s="120">
        <v>0</v>
      </c>
      <c r="D13" s="107"/>
      <c r="E13" s="108"/>
      <c r="F13" s="109"/>
      <c r="G13" s="110"/>
      <c r="H13" s="108"/>
      <c r="I13" s="109"/>
      <c r="J13" s="110"/>
      <c r="K13" s="108"/>
      <c r="L13" s="109"/>
      <c r="M13" s="110"/>
      <c r="N13" s="108"/>
      <c r="O13" s="111"/>
      <c r="P13" s="107"/>
      <c r="Q13" s="108"/>
      <c r="R13" s="109"/>
      <c r="S13" s="110"/>
      <c r="T13" s="108"/>
      <c r="U13" s="109"/>
      <c r="V13" s="110"/>
      <c r="W13" s="108"/>
      <c r="X13" s="109"/>
      <c r="Y13" s="110"/>
      <c r="Z13" s="108"/>
      <c r="AA13" s="111"/>
      <c r="AB13" s="107"/>
      <c r="AC13" s="108"/>
      <c r="AD13" s="109"/>
      <c r="AE13" s="110"/>
      <c r="AF13" s="108"/>
      <c r="AG13" s="109"/>
      <c r="AH13" s="110"/>
      <c r="AI13" s="108"/>
      <c r="AJ13" s="109"/>
      <c r="AK13" s="110"/>
      <c r="AL13" s="108"/>
      <c r="AM13" s="111"/>
      <c r="AN13" s="107"/>
      <c r="AO13" s="108"/>
      <c r="AP13" s="109"/>
      <c r="AQ13" s="110"/>
      <c r="AR13" s="108"/>
      <c r="AS13" s="109"/>
      <c r="AT13" s="110"/>
      <c r="AU13" s="108"/>
      <c r="AV13" s="109"/>
      <c r="AW13" s="110"/>
      <c r="AX13" s="108"/>
      <c r="AY13" s="111"/>
      <c r="AZ13" s="107"/>
      <c r="BA13" s="108"/>
      <c r="BB13" s="109"/>
      <c r="BC13" s="110"/>
      <c r="BD13" s="108"/>
      <c r="BE13" s="109"/>
      <c r="BF13" s="110"/>
      <c r="BG13" s="108"/>
      <c r="BH13" s="109"/>
      <c r="BI13" s="110"/>
      <c r="BJ13" s="108"/>
      <c r="BK13" s="111"/>
      <c r="BL13" s="107"/>
      <c r="BM13" s="108"/>
      <c r="BN13" s="109"/>
      <c r="BO13" s="110"/>
      <c r="BP13" s="108"/>
      <c r="BQ13" s="109"/>
      <c r="BR13" s="110"/>
      <c r="BS13" s="108"/>
      <c r="BT13" s="109"/>
      <c r="BU13" s="110"/>
      <c r="BV13" s="108"/>
      <c r="BW13" s="111"/>
      <c r="BX13" s="107"/>
      <c r="BY13" s="108"/>
      <c r="BZ13" s="109"/>
      <c r="CA13" s="110"/>
      <c r="CB13" s="108"/>
      <c r="CC13" s="109"/>
      <c r="CD13" s="110"/>
      <c r="CE13" s="108"/>
      <c r="CF13" s="109"/>
      <c r="CG13" s="110"/>
      <c r="CH13" s="108"/>
      <c r="CI13" s="111"/>
      <c r="CJ13" s="107"/>
      <c r="CK13" s="108"/>
      <c r="CL13" s="109"/>
      <c r="CM13" s="110"/>
      <c r="CN13" s="108"/>
      <c r="CO13" s="109"/>
      <c r="CP13" s="110"/>
      <c r="CQ13" s="108"/>
      <c r="CR13" s="109"/>
      <c r="CS13" s="110"/>
      <c r="CT13" s="108"/>
      <c r="CU13" s="111"/>
      <c r="CV13" s="107"/>
      <c r="CW13" s="108"/>
      <c r="CX13" s="109"/>
      <c r="CY13" s="110"/>
      <c r="CZ13" s="108"/>
      <c r="DA13" s="109"/>
      <c r="DB13" s="110"/>
      <c r="DC13" s="108"/>
      <c r="DD13" s="109"/>
      <c r="DE13" s="110"/>
      <c r="DF13" s="108"/>
      <c r="DG13" s="111"/>
    </row>
    <row r="14" spans="1:128" ht="19.5" customHeight="1" thickBot="1" x14ac:dyDescent="0.3">
      <c r="B14" s="121"/>
      <c r="C14" s="122">
        <v>0</v>
      </c>
      <c r="D14" s="114"/>
      <c r="E14" s="115"/>
      <c r="F14" s="116"/>
      <c r="G14" s="117"/>
      <c r="H14" s="115"/>
      <c r="I14" s="116"/>
      <c r="J14" s="117"/>
      <c r="K14" s="115"/>
      <c r="L14" s="116"/>
      <c r="M14" s="117"/>
      <c r="N14" s="115"/>
      <c r="O14" s="118"/>
      <c r="P14" s="114"/>
      <c r="Q14" s="115"/>
      <c r="R14" s="116"/>
      <c r="S14" s="117"/>
      <c r="T14" s="115"/>
      <c r="U14" s="116"/>
      <c r="V14" s="117"/>
      <c r="W14" s="115"/>
      <c r="X14" s="116"/>
      <c r="Y14" s="117"/>
      <c r="Z14" s="115"/>
      <c r="AA14" s="118"/>
      <c r="AB14" s="114"/>
      <c r="AC14" s="115"/>
      <c r="AD14" s="116"/>
      <c r="AE14" s="117"/>
      <c r="AF14" s="115"/>
      <c r="AG14" s="116"/>
      <c r="AH14" s="117"/>
      <c r="AI14" s="115"/>
      <c r="AJ14" s="116"/>
      <c r="AK14" s="117"/>
      <c r="AL14" s="115"/>
      <c r="AM14" s="118"/>
      <c r="AN14" s="114"/>
      <c r="AO14" s="115"/>
      <c r="AP14" s="116"/>
      <c r="AQ14" s="117"/>
      <c r="AR14" s="115"/>
      <c r="AS14" s="116"/>
      <c r="AT14" s="117"/>
      <c r="AU14" s="115"/>
      <c r="AV14" s="116"/>
      <c r="AW14" s="117"/>
      <c r="AX14" s="115"/>
      <c r="AY14" s="118"/>
      <c r="AZ14" s="114"/>
      <c r="BA14" s="115"/>
      <c r="BB14" s="116"/>
      <c r="BC14" s="117"/>
      <c r="BD14" s="115"/>
      <c r="BE14" s="116"/>
      <c r="BF14" s="117"/>
      <c r="BG14" s="115"/>
      <c r="BH14" s="116"/>
      <c r="BI14" s="117"/>
      <c r="BJ14" s="115"/>
      <c r="BK14" s="118"/>
      <c r="BL14" s="114"/>
      <c r="BM14" s="115"/>
      <c r="BN14" s="116"/>
      <c r="BO14" s="117"/>
      <c r="BP14" s="115"/>
      <c r="BQ14" s="116"/>
      <c r="BR14" s="117"/>
      <c r="BS14" s="115"/>
      <c r="BT14" s="116"/>
      <c r="BU14" s="117"/>
      <c r="BV14" s="115"/>
      <c r="BW14" s="118"/>
      <c r="BX14" s="114"/>
      <c r="BY14" s="115"/>
      <c r="BZ14" s="116"/>
      <c r="CA14" s="117"/>
      <c r="CB14" s="115"/>
      <c r="CC14" s="116"/>
      <c r="CD14" s="117"/>
      <c r="CE14" s="115"/>
      <c r="CF14" s="116"/>
      <c r="CG14" s="117"/>
      <c r="CH14" s="115"/>
      <c r="CI14" s="118"/>
      <c r="CJ14" s="114"/>
      <c r="CK14" s="115"/>
      <c r="CL14" s="116"/>
      <c r="CM14" s="117"/>
      <c r="CN14" s="115"/>
      <c r="CO14" s="116"/>
      <c r="CP14" s="117"/>
      <c r="CQ14" s="115"/>
      <c r="CR14" s="116"/>
      <c r="CS14" s="117"/>
      <c r="CT14" s="115"/>
      <c r="CU14" s="118"/>
      <c r="CV14" s="114"/>
      <c r="CW14" s="115"/>
      <c r="CX14" s="116"/>
      <c r="CY14" s="117"/>
      <c r="CZ14" s="115"/>
      <c r="DA14" s="116"/>
      <c r="DB14" s="117"/>
      <c r="DC14" s="115"/>
      <c r="DD14" s="116"/>
      <c r="DE14" s="117"/>
      <c r="DF14" s="115"/>
      <c r="DG14" s="118"/>
    </row>
    <row r="15" spans="1:128" ht="19.5" customHeight="1" x14ac:dyDescent="0.25">
      <c r="B15" s="123" t="str">
        <f>Donnees!$C$26</f>
        <v>Analyser</v>
      </c>
      <c r="C15" s="120">
        <v>4</v>
      </c>
      <c r="D15" s="141"/>
      <c r="E15" s="142"/>
      <c r="F15" s="143"/>
      <c r="G15" s="144"/>
      <c r="H15" s="108"/>
      <c r="I15" s="109"/>
      <c r="J15" s="110"/>
      <c r="K15" s="108"/>
      <c r="L15" s="109"/>
      <c r="M15" s="110"/>
      <c r="N15" s="108"/>
      <c r="O15" s="111"/>
      <c r="P15" s="107"/>
      <c r="Q15" s="108"/>
      <c r="R15" s="109"/>
      <c r="S15" s="110"/>
      <c r="T15" s="108"/>
      <c r="U15" s="109"/>
      <c r="V15" s="110"/>
      <c r="W15" s="108"/>
      <c r="X15" s="109"/>
      <c r="Y15" s="110"/>
      <c r="Z15" s="108"/>
      <c r="AA15" s="111"/>
      <c r="AB15" s="107"/>
      <c r="AC15" s="108"/>
      <c r="AD15" s="109"/>
      <c r="AE15" s="110"/>
      <c r="AF15" s="108"/>
      <c r="AG15" s="109"/>
      <c r="AH15" s="110"/>
      <c r="AI15" s="108"/>
      <c r="AJ15" s="109"/>
      <c r="AK15" s="110"/>
      <c r="AL15" s="108"/>
      <c r="AM15" s="111"/>
      <c r="AN15" s="107"/>
      <c r="AO15" s="108"/>
      <c r="AP15" s="109"/>
      <c r="AQ15" s="110"/>
      <c r="AR15" s="108"/>
      <c r="AS15" s="109"/>
      <c r="AT15" s="110"/>
      <c r="AU15" s="108"/>
      <c r="AV15" s="109"/>
      <c r="AW15" s="110"/>
      <c r="AX15" s="108"/>
      <c r="AY15" s="111"/>
      <c r="AZ15" s="107"/>
      <c r="BA15" s="108"/>
      <c r="BB15" s="109"/>
      <c r="BC15" s="110"/>
      <c r="BD15" s="108"/>
      <c r="BE15" s="109"/>
      <c r="BF15" s="110"/>
      <c r="BG15" s="108"/>
      <c r="BH15" s="109"/>
      <c r="BI15" s="110"/>
      <c r="BJ15" s="108"/>
      <c r="BK15" s="111"/>
      <c r="BL15" s="107"/>
      <c r="BM15" s="108"/>
      <c r="BN15" s="109"/>
      <c r="BO15" s="110"/>
      <c r="BP15" s="108"/>
      <c r="BQ15" s="109"/>
      <c r="BR15" s="110"/>
      <c r="BS15" s="108"/>
      <c r="BT15" s="109"/>
      <c r="BU15" s="110"/>
      <c r="BV15" s="108"/>
      <c r="BW15" s="111"/>
      <c r="BX15" s="107"/>
      <c r="BY15" s="108"/>
      <c r="BZ15" s="109"/>
      <c r="CA15" s="110"/>
      <c r="CB15" s="108"/>
      <c r="CC15" s="109"/>
      <c r="CD15" s="110"/>
      <c r="CE15" s="108"/>
      <c r="CF15" s="109"/>
      <c r="CG15" s="110"/>
      <c r="CH15" s="108"/>
      <c r="CI15" s="111"/>
      <c r="CJ15" s="107"/>
      <c r="CK15" s="108"/>
      <c r="CL15" s="109"/>
      <c r="CM15" s="110"/>
      <c r="CN15" s="108"/>
      <c r="CO15" s="109"/>
      <c r="CP15" s="110"/>
      <c r="CQ15" s="108"/>
      <c r="CR15" s="109"/>
      <c r="CS15" s="110"/>
      <c r="CT15" s="108"/>
      <c r="CU15" s="111"/>
      <c r="CV15" s="107"/>
      <c r="CW15" s="108"/>
      <c r="CX15" s="109"/>
      <c r="CY15" s="110"/>
      <c r="CZ15" s="108"/>
      <c r="DA15" s="109"/>
      <c r="DB15" s="110"/>
      <c r="DC15" s="108"/>
      <c r="DD15" s="109"/>
      <c r="DE15" s="110"/>
      <c r="DF15" s="108"/>
      <c r="DG15" s="111"/>
    </row>
    <row r="16" spans="1:128" ht="19.5" customHeight="1" thickBot="1" x14ac:dyDescent="0.3">
      <c r="A16" s="124"/>
      <c r="B16" s="121"/>
      <c r="C16" s="122">
        <v>4</v>
      </c>
      <c r="D16" s="135"/>
      <c r="E16" s="136"/>
      <c r="F16" s="137"/>
      <c r="G16" s="138"/>
      <c r="H16" s="115"/>
      <c r="I16" s="116"/>
      <c r="J16" s="117"/>
      <c r="K16" s="115"/>
      <c r="L16" s="116"/>
      <c r="M16" s="117"/>
      <c r="N16" s="115"/>
      <c r="O16" s="118"/>
      <c r="P16" s="114"/>
      <c r="Q16" s="115"/>
      <c r="R16" s="116"/>
      <c r="S16" s="117"/>
      <c r="T16" s="115"/>
      <c r="U16" s="116"/>
      <c r="V16" s="117"/>
      <c r="W16" s="115"/>
      <c r="X16" s="116"/>
      <c r="Y16" s="117"/>
      <c r="Z16" s="115"/>
      <c r="AA16" s="118"/>
      <c r="AB16" s="114"/>
      <c r="AC16" s="115"/>
      <c r="AD16" s="116"/>
      <c r="AE16" s="117"/>
      <c r="AF16" s="115"/>
      <c r="AG16" s="116"/>
      <c r="AH16" s="117"/>
      <c r="AI16" s="115"/>
      <c r="AJ16" s="116"/>
      <c r="AK16" s="117"/>
      <c r="AL16" s="115"/>
      <c r="AM16" s="118"/>
      <c r="AN16" s="114"/>
      <c r="AO16" s="115"/>
      <c r="AP16" s="116"/>
      <c r="AQ16" s="117"/>
      <c r="AR16" s="115"/>
      <c r="AS16" s="116"/>
      <c r="AT16" s="117"/>
      <c r="AU16" s="115"/>
      <c r="AV16" s="116"/>
      <c r="AW16" s="117"/>
      <c r="AX16" s="115"/>
      <c r="AY16" s="118"/>
      <c r="AZ16" s="114"/>
      <c r="BA16" s="115"/>
      <c r="BB16" s="116"/>
      <c r="BC16" s="117"/>
      <c r="BD16" s="115"/>
      <c r="BE16" s="116"/>
      <c r="BF16" s="117"/>
      <c r="BG16" s="115"/>
      <c r="BH16" s="116"/>
      <c r="BI16" s="117"/>
      <c r="BJ16" s="115"/>
      <c r="BK16" s="118"/>
      <c r="BL16" s="114"/>
      <c r="BM16" s="115"/>
      <c r="BN16" s="116"/>
      <c r="BO16" s="117"/>
      <c r="BP16" s="115"/>
      <c r="BQ16" s="116"/>
      <c r="BR16" s="117"/>
      <c r="BS16" s="115"/>
      <c r="BT16" s="116"/>
      <c r="BU16" s="117"/>
      <c r="BV16" s="115"/>
      <c r="BW16" s="118"/>
      <c r="BX16" s="114"/>
      <c r="BY16" s="115"/>
      <c r="BZ16" s="116"/>
      <c r="CA16" s="117"/>
      <c r="CB16" s="115"/>
      <c r="CC16" s="116"/>
      <c r="CD16" s="117"/>
      <c r="CE16" s="115"/>
      <c r="CF16" s="116"/>
      <c r="CG16" s="117"/>
      <c r="CH16" s="115"/>
      <c r="CI16" s="118"/>
      <c r="CJ16" s="114"/>
      <c r="CK16" s="115"/>
      <c r="CL16" s="116"/>
      <c r="CM16" s="117"/>
      <c r="CN16" s="115"/>
      <c r="CO16" s="116"/>
      <c r="CP16" s="117"/>
      <c r="CQ16" s="115"/>
      <c r="CR16" s="116"/>
      <c r="CS16" s="117"/>
      <c r="CT16" s="115"/>
      <c r="CU16" s="118"/>
      <c r="CV16" s="114"/>
      <c r="CW16" s="115"/>
      <c r="CX16" s="116"/>
      <c r="CY16" s="117"/>
      <c r="CZ16" s="115"/>
      <c r="DA16" s="116"/>
      <c r="DB16" s="117"/>
      <c r="DC16" s="115"/>
      <c r="DD16" s="116"/>
      <c r="DE16" s="117"/>
      <c r="DF16" s="115"/>
      <c r="DG16" s="118"/>
    </row>
    <row r="17" spans="2:130" ht="19.5" customHeight="1" x14ac:dyDescent="0.25">
      <c r="B17" s="123" t="str">
        <f>Donnees!$C$27</f>
        <v>Ecrire</v>
      </c>
      <c r="C17" s="120">
        <v>3</v>
      </c>
      <c r="D17" s="107"/>
      <c r="E17" s="108"/>
      <c r="F17" s="109"/>
      <c r="G17" s="110"/>
      <c r="H17" s="108"/>
      <c r="I17" s="109"/>
      <c r="J17" s="110"/>
      <c r="K17" s="108"/>
      <c r="L17" s="143"/>
      <c r="M17" s="144"/>
      <c r="N17" s="142"/>
      <c r="O17" s="111"/>
      <c r="P17" s="107"/>
      <c r="Q17" s="108"/>
      <c r="R17" s="109"/>
      <c r="S17" s="110"/>
      <c r="T17" s="108"/>
      <c r="U17" s="109"/>
      <c r="V17" s="110"/>
      <c r="W17" s="108"/>
      <c r="X17" s="109"/>
      <c r="Y17" s="110"/>
      <c r="Z17" s="108"/>
      <c r="AA17" s="111"/>
      <c r="AB17" s="107"/>
      <c r="AC17" s="108"/>
      <c r="AD17" s="109"/>
      <c r="AE17" s="110"/>
      <c r="AF17" s="108"/>
      <c r="AG17" s="109"/>
      <c r="AH17" s="110"/>
      <c r="AI17" s="108"/>
      <c r="AJ17" s="109"/>
      <c r="AK17" s="110"/>
      <c r="AL17" s="108"/>
      <c r="AM17" s="111"/>
      <c r="AN17" s="107"/>
      <c r="AO17" s="108"/>
      <c r="AP17" s="109"/>
      <c r="AQ17" s="110"/>
      <c r="AR17" s="108"/>
      <c r="AS17" s="109"/>
      <c r="AT17" s="110"/>
      <c r="AU17" s="108"/>
      <c r="AV17" s="109"/>
      <c r="AW17" s="110"/>
      <c r="AX17" s="108"/>
      <c r="AY17" s="111"/>
      <c r="AZ17" s="107"/>
      <c r="BA17" s="108"/>
      <c r="BB17" s="109"/>
      <c r="BC17" s="110"/>
      <c r="BD17" s="108"/>
      <c r="BE17" s="109"/>
      <c r="BF17" s="110"/>
      <c r="BG17" s="108"/>
      <c r="BH17" s="109"/>
      <c r="BI17" s="110"/>
      <c r="BJ17" s="108"/>
      <c r="BK17" s="111"/>
      <c r="BL17" s="107"/>
      <c r="BM17" s="108"/>
      <c r="BN17" s="109"/>
      <c r="BO17" s="110"/>
      <c r="BP17" s="108"/>
      <c r="BQ17" s="109"/>
      <c r="BR17" s="110"/>
      <c r="BS17" s="108"/>
      <c r="BT17" s="109"/>
      <c r="BU17" s="110"/>
      <c r="BV17" s="108"/>
      <c r="BW17" s="111"/>
      <c r="BX17" s="107"/>
      <c r="BY17" s="108"/>
      <c r="BZ17" s="109"/>
      <c r="CA17" s="110"/>
      <c r="CB17" s="108"/>
      <c r="CC17" s="109"/>
      <c r="CD17" s="110"/>
      <c r="CE17" s="108"/>
      <c r="CF17" s="109"/>
      <c r="CG17" s="110"/>
      <c r="CH17" s="108"/>
      <c r="CI17" s="111"/>
      <c r="CJ17" s="107"/>
      <c r="CK17" s="108"/>
      <c r="CL17" s="109"/>
      <c r="CM17" s="110"/>
      <c r="CN17" s="108"/>
      <c r="CO17" s="109"/>
      <c r="CP17" s="110"/>
      <c r="CQ17" s="108"/>
      <c r="CR17" s="109"/>
      <c r="CS17" s="110"/>
      <c r="CT17" s="108"/>
      <c r="CU17" s="111"/>
      <c r="CV17" s="107"/>
      <c r="CW17" s="108"/>
      <c r="CX17" s="109"/>
      <c r="CY17" s="110"/>
      <c r="CZ17" s="108"/>
      <c r="DA17" s="109"/>
      <c r="DB17" s="110"/>
      <c r="DC17" s="108"/>
      <c r="DD17" s="109"/>
      <c r="DE17" s="110"/>
      <c r="DF17" s="108"/>
      <c r="DG17" s="111"/>
      <c r="DO17" s="146"/>
      <c r="DP17" s="146"/>
      <c r="DQ17" s="146"/>
      <c r="DR17" s="146"/>
    </row>
    <row r="18" spans="2:130" ht="19.5" customHeight="1" thickBot="1" x14ac:dyDescent="0.3">
      <c r="B18" s="121"/>
      <c r="C18" s="122">
        <v>4</v>
      </c>
      <c r="D18" s="114"/>
      <c r="E18" s="115"/>
      <c r="F18" s="116"/>
      <c r="G18" s="117"/>
      <c r="H18" s="115"/>
      <c r="I18" s="116"/>
      <c r="J18" s="117"/>
      <c r="K18" s="115"/>
      <c r="L18" s="137"/>
      <c r="M18" s="138"/>
      <c r="N18" s="136"/>
      <c r="O18" s="139"/>
      <c r="P18" s="114"/>
      <c r="Q18" s="115"/>
      <c r="R18" s="116"/>
      <c r="S18" s="117"/>
      <c r="T18" s="115"/>
      <c r="U18" s="116"/>
      <c r="V18" s="117"/>
      <c r="W18" s="115"/>
      <c r="X18" s="116"/>
      <c r="Y18" s="117"/>
      <c r="Z18" s="115"/>
      <c r="AA18" s="118"/>
      <c r="AB18" s="114"/>
      <c r="AC18" s="115"/>
      <c r="AD18" s="116"/>
      <c r="AE18" s="117"/>
      <c r="AF18" s="115"/>
      <c r="AG18" s="116"/>
      <c r="AH18" s="117"/>
      <c r="AI18" s="115"/>
      <c r="AJ18" s="116"/>
      <c r="AK18" s="117"/>
      <c r="AL18" s="115"/>
      <c r="AM18" s="118"/>
      <c r="AN18" s="114"/>
      <c r="AO18" s="115"/>
      <c r="AP18" s="116"/>
      <c r="AQ18" s="117"/>
      <c r="AR18" s="115"/>
      <c r="AS18" s="116"/>
      <c r="AT18" s="117"/>
      <c r="AU18" s="115"/>
      <c r="AV18" s="116"/>
      <c r="AW18" s="117"/>
      <c r="AX18" s="115"/>
      <c r="AY18" s="118"/>
      <c r="AZ18" s="114"/>
      <c r="BA18" s="115"/>
      <c r="BB18" s="116"/>
      <c r="BC18" s="117"/>
      <c r="BD18" s="115"/>
      <c r="BE18" s="116"/>
      <c r="BF18" s="117"/>
      <c r="BG18" s="115"/>
      <c r="BH18" s="116"/>
      <c r="BI18" s="117"/>
      <c r="BJ18" s="115"/>
      <c r="BK18" s="118"/>
      <c r="BL18" s="114"/>
      <c r="BM18" s="115"/>
      <c r="BN18" s="116"/>
      <c r="BO18" s="117"/>
      <c r="BP18" s="115"/>
      <c r="BQ18" s="116"/>
      <c r="BR18" s="117"/>
      <c r="BS18" s="115"/>
      <c r="BT18" s="116"/>
      <c r="BU18" s="117"/>
      <c r="BV18" s="115"/>
      <c r="BW18" s="118"/>
      <c r="BX18" s="114"/>
      <c r="BY18" s="115"/>
      <c r="BZ18" s="116"/>
      <c r="CA18" s="117"/>
      <c r="CB18" s="115"/>
      <c r="CC18" s="116"/>
      <c r="CD18" s="117"/>
      <c r="CE18" s="115"/>
      <c r="CF18" s="116"/>
      <c r="CG18" s="117"/>
      <c r="CH18" s="115"/>
      <c r="CI18" s="118"/>
      <c r="CJ18" s="114"/>
      <c r="CK18" s="115"/>
      <c r="CL18" s="116"/>
      <c r="CM18" s="117"/>
      <c r="CN18" s="115"/>
      <c r="CO18" s="116"/>
      <c r="CP18" s="117"/>
      <c r="CQ18" s="115"/>
      <c r="CR18" s="116"/>
      <c r="CS18" s="117"/>
      <c r="CT18" s="115"/>
      <c r="CU18" s="118"/>
      <c r="CV18" s="114"/>
      <c r="CW18" s="115"/>
      <c r="CX18" s="116"/>
      <c r="CY18" s="117"/>
      <c r="CZ18" s="115"/>
      <c r="DA18" s="116"/>
      <c r="DB18" s="117"/>
      <c r="DC18" s="115"/>
      <c r="DD18" s="116"/>
      <c r="DE18" s="117"/>
      <c r="DF18" s="115"/>
      <c r="DG18" s="118"/>
      <c r="DY18" s="140"/>
      <c r="DZ18" s="140"/>
    </row>
    <row r="19" spans="2:130" ht="19.5" customHeight="1" x14ac:dyDescent="0.25">
      <c r="B19" s="123" t="str">
        <f>Donnees!$C$28</f>
        <v>Corriger</v>
      </c>
      <c r="C19" s="120">
        <v>0</v>
      </c>
      <c r="D19" s="107"/>
      <c r="E19" s="108"/>
      <c r="F19" s="109"/>
      <c r="G19" s="110"/>
      <c r="H19" s="108"/>
      <c r="I19" s="109"/>
      <c r="J19" s="110"/>
      <c r="K19" s="108"/>
      <c r="L19" s="109"/>
      <c r="M19" s="110"/>
      <c r="N19" s="108"/>
      <c r="O19" s="111"/>
      <c r="P19" s="107"/>
      <c r="Q19" s="108"/>
      <c r="R19" s="109"/>
      <c r="S19" s="110"/>
      <c r="T19" s="108"/>
      <c r="U19" s="109"/>
      <c r="V19" s="110"/>
      <c r="W19" s="108"/>
      <c r="X19" s="109"/>
      <c r="Y19" s="110"/>
      <c r="Z19" s="108"/>
      <c r="AA19" s="111"/>
      <c r="AB19" s="107"/>
      <c r="AC19" s="108"/>
      <c r="AD19" s="109"/>
      <c r="AE19" s="110"/>
      <c r="AF19" s="108"/>
      <c r="AG19" s="109"/>
      <c r="AH19" s="110"/>
      <c r="AI19" s="108"/>
      <c r="AJ19" s="109"/>
      <c r="AK19" s="110"/>
      <c r="AL19" s="108"/>
      <c r="AM19" s="111"/>
      <c r="AN19" s="107"/>
      <c r="AO19" s="108"/>
      <c r="AP19" s="109"/>
      <c r="AQ19" s="110"/>
      <c r="AR19" s="108"/>
      <c r="AS19" s="109"/>
      <c r="AT19" s="110"/>
      <c r="AU19" s="108"/>
      <c r="AV19" s="109"/>
      <c r="AW19" s="110"/>
      <c r="AX19" s="108"/>
      <c r="AY19" s="111"/>
      <c r="AZ19" s="107"/>
      <c r="BA19" s="108"/>
      <c r="BB19" s="109"/>
      <c r="BC19" s="110"/>
      <c r="BD19" s="108"/>
      <c r="BE19" s="109"/>
      <c r="BF19" s="110"/>
      <c r="BG19" s="108"/>
      <c r="BH19" s="109"/>
      <c r="BI19" s="110"/>
      <c r="BJ19" s="108"/>
      <c r="BK19" s="111"/>
      <c r="BL19" s="107"/>
      <c r="BM19" s="108"/>
      <c r="BN19" s="109"/>
      <c r="BO19" s="110"/>
      <c r="BP19" s="108"/>
      <c r="BQ19" s="109"/>
      <c r="BR19" s="110"/>
      <c r="BS19" s="108"/>
      <c r="BT19" s="109"/>
      <c r="BU19" s="110"/>
      <c r="BV19" s="108"/>
      <c r="BW19" s="111"/>
      <c r="BX19" s="107"/>
      <c r="BY19" s="108"/>
      <c r="BZ19" s="109"/>
      <c r="CA19" s="110"/>
      <c r="CB19" s="108"/>
      <c r="CC19" s="109"/>
      <c r="CD19" s="110"/>
      <c r="CE19" s="108"/>
      <c r="CF19" s="109"/>
      <c r="CG19" s="110"/>
      <c r="CH19" s="108"/>
      <c r="CI19" s="111"/>
      <c r="CJ19" s="107"/>
      <c r="CK19" s="108"/>
      <c r="CL19" s="109"/>
      <c r="CM19" s="110"/>
      <c r="CN19" s="108"/>
      <c r="CO19" s="109"/>
      <c r="CP19" s="110"/>
      <c r="CQ19" s="108"/>
      <c r="CR19" s="109"/>
      <c r="CS19" s="110"/>
      <c r="CT19" s="108"/>
      <c r="CU19" s="111"/>
      <c r="CV19" s="107"/>
      <c r="CW19" s="108"/>
      <c r="CX19" s="109"/>
      <c r="CY19" s="110"/>
      <c r="CZ19" s="108"/>
      <c r="DA19" s="109"/>
      <c r="DB19" s="110"/>
      <c r="DC19" s="108"/>
      <c r="DD19" s="109"/>
      <c r="DE19" s="110"/>
      <c r="DF19" s="108"/>
      <c r="DG19" s="111"/>
    </row>
    <row r="20" spans="2:130" ht="19.5" customHeight="1" thickBot="1" x14ac:dyDescent="0.3">
      <c r="B20" s="121"/>
      <c r="C20" s="122">
        <v>1</v>
      </c>
      <c r="D20" s="114"/>
      <c r="E20" s="115"/>
      <c r="F20" s="116"/>
      <c r="G20" s="117"/>
      <c r="H20" s="115"/>
      <c r="I20" s="116"/>
      <c r="J20" s="117"/>
      <c r="K20" s="115"/>
      <c r="L20" s="116"/>
      <c r="M20" s="117"/>
      <c r="N20" s="115"/>
      <c r="O20" s="118"/>
      <c r="P20" s="114"/>
      <c r="Q20" s="115"/>
      <c r="R20" s="116"/>
      <c r="S20" s="117"/>
      <c r="T20" s="115"/>
      <c r="U20" s="116"/>
      <c r="V20" s="117"/>
      <c r="W20" s="115"/>
      <c r="X20" s="116"/>
      <c r="Y20" s="138"/>
      <c r="Z20" s="115"/>
      <c r="AA20" s="118"/>
      <c r="AB20" s="114"/>
      <c r="AC20" s="115"/>
      <c r="AD20" s="116"/>
      <c r="AE20" s="117"/>
      <c r="AF20" s="115"/>
      <c r="AG20" s="116"/>
      <c r="AH20" s="117"/>
      <c r="AI20" s="115"/>
      <c r="AJ20" s="116"/>
      <c r="AK20" s="117"/>
      <c r="AL20" s="115"/>
      <c r="AM20" s="118"/>
      <c r="AN20" s="114"/>
      <c r="AO20" s="115"/>
      <c r="AP20" s="116"/>
      <c r="AQ20" s="117"/>
      <c r="AR20" s="115"/>
      <c r="AS20" s="116"/>
      <c r="AT20" s="117"/>
      <c r="AU20" s="115"/>
      <c r="AV20" s="116"/>
      <c r="AW20" s="117"/>
      <c r="AX20" s="115"/>
      <c r="AY20" s="118"/>
      <c r="AZ20" s="114"/>
      <c r="BA20" s="115"/>
      <c r="BB20" s="116"/>
      <c r="BC20" s="117"/>
      <c r="BD20" s="115"/>
      <c r="BE20" s="116"/>
      <c r="BF20" s="117"/>
      <c r="BG20" s="115"/>
      <c r="BH20" s="116"/>
      <c r="BI20" s="117"/>
      <c r="BJ20" s="115"/>
      <c r="BK20" s="118"/>
      <c r="BL20" s="114"/>
      <c r="BM20" s="115"/>
      <c r="BN20" s="116"/>
      <c r="BO20" s="117"/>
      <c r="BP20" s="115"/>
      <c r="BQ20" s="116"/>
      <c r="BR20" s="117"/>
      <c r="BS20" s="115"/>
      <c r="BT20" s="116"/>
      <c r="BU20" s="117"/>
      <c r="BV20" s="115"/>
      <c r="BW20" s="118"/>
      <c r="BX20" s="114"/>
      <c r="BY20" s="115"/>
      <c r="BZ20" s="116"/>
      <c r="CA20" s="117"/>
      <c r="CB20" s="115"/>
      <c r="CC20" s="116"/>
      <c r="CD20" s="117"/>
      <c r="CE20" s="115"/>
      <c r="CF20" s="116"/>
      <c r="CG20" s="117"/>
      <c r="CH20" s="115"/>
      <c r="CI20" s="118"/>
      <c r="CJ20" s="114"/>
      <c r="CK20" s="115"/>
      <c r="CL20" s="116"/>
      <c r="CM20" s="117"/>
      <c r="CN20" s="115"/>
      <c r="CO20" s="116"/>
      <c r="CP20" s="117"/>
      <c r="CQ20" s="115"/>
      <c r="CR20" s="116"/>
      <c r="CS20" s="117"/>
      <c r="CT20" s="115"/>
      <c r="CU20" s="118"/>
      <c r="CV20" s="114"/>
      <c r="CW20" s="115"/>
      <c r="CX20" s="116"/>
      <c r="CY20" s="117"/>
      <c r="CZ20" s="115"/>
      <c r="DA20" s="116"/>
      <c r="DB20" s="117"/>
      <c r="DC20" s="115"/>
      <c r="DD20" s="116"/>
      <c r="DE20" s="117"/>
      <c r="DF20" s="115"/>
      <c r="DG20" s="118"/>
    </row>
    <row r="21" spans="2:130" ht="19.5" customHeight="1" x14ac:dyDescent="0.25">
      <c r="B21" s="123" t="str">
        <f>Donnees!$C$29</f>
        <v>Rendre</v>
      </c>
      <c r="C21" s="120">
        <v>1</v>
      </c>
      <c r="D21" s="107"/>
      <c r="E21" s="108"/>
      <c r="F21" s="109"/>
      <c r="G21" s="110"/>
      <c r="H21" s="108"/>
      <c r="I21" s="109"/>
      <c r="J21" s="110"/>
      <c r="K21" s="108"/>
      <c r="L21" s="109"/>
      <c r="M21" s="110"/>
      <c r="N21" s="108"/>
      <c r="O21" s="111"/>
      <c r="P21" s="107"/>
      <c r="Q21" s="108"/>
      <c r="R21" s="109"/>
      <c r="S21" s="110"/>
      <c r="T21" s="108"/>
      <c r="U21" s="109"/>
      <c r="V21" s="110"/>
      <c r="W21" s="108"/>
      <c r="X21" s="109"/>
      <c r="Y21" s="110"/>
      <c r="Z21" s="108"/>
      <c r="AA21" s="145"/>
      <c r="AB21" s="107"/>
      <c r="AC21" s="108"/>
      <c r="AD21" s="109"/>
      <c r="AE21" s="110"/>
      <c r="AF21" s="108"/>
      <c r="AG21" s="109"/>
      <c r="AH21" s="110"/>
      <c r="AI21" s="108"/>
      <c r="AJ21" s="109"/>
      <c r="AK21" s="110"/>
      <c r="AL21" s="108"/>
      <c r="AM21" s="111"/>
      <c r="AN21" s="107"/>
      <c r="AO21" s="108"/>
      <c r="AP21" s="109"/>
      <c r="AQ21" s="110"/>
      <c r="AR21" s="108"/>
      <c r="AS21" s="109"/>
      <c r="AT21" s="110"/>
      <c r="AU21" s="108"/>
      <c r="AV21" s="109"/>
      <c r="AW21" s="110"/>
      <c r="AX21" s="108"/>
      <c r="AY21" s="111"/>
      <c r="AZ21" s="107"/>
      <c r="BA21" s="108"/>
      <c r="BB21" s="109"/>
      <c r="BC21" s="110"/>
      <c r="BD21" s="108"/>
      <c r="BE21" s="109"/>
      <c r="BF21" s="110"/>
      <c r="BG21" s="108"/>
      <c r="BH21" s="109"/>
      <c r="BI21" s="110"/>
      <c r="BJ21" s="108"/>
      <c r="BK21" s="111"/>
      <c r="BL21" s="107"/>
      <c r="BM21" s="108"/>
      <c r="BN21" s="109"/>
      <c r="BO21" s="110"/>
      <c r="BP21" s="108"/>
      <c r="BQ21" s="109"/>
      <c r="BR21" s="110"/>
      <c r="BS21" s="108"/>
      <c r="BT21" s="109"/>
      <c r="BU21" s="110"/>
      <c r="BV21" s="108"/>
      <c r="BW21" s="111"/>
      <c r="BX21" s="107"/>
      <c r="BY21" s="108"/>
      <c r="BZ21" s="109"/>
      <c r="CA21" s="110"/>
      <c r="CB21" s="108"/>
      <c r="CC21" s="109"/>
      <c r="CD21" s="110"/>
      <c r="CE21" s="108"/>
      <c r="CF21" s="109"/>
      <c r="CG21" s="110"/>
      <c r="CH21" s="108"/>
      <c r="CI21" s="111"/>
      <c r="CJ21" s="107"/>
      <c r="CK21" s="108"/>
      <c r="CL21" s="109"/>
      <c r="CM21" s="110"/>
      <c r="CN21" s="108"/>
      <c r="CO21" s="109"/>
      <c r="CP21" s="110"/>
      <c r="CQ21" s="108"/>
      <c r="CR21" s="109"/>
      <c r="CS21" s="110"/>
      <c r="CT21" s="108"/>
      <c r="CU21" s="111"/>
      <c r="CV21" s="107"/>
      <c r="CW21" s="108"/>
      <c r="CX21" s="109"/>
      <c r="CY21" s="110"/>
      <c r="CZ21" s="108"/>
      <c r="DA21" s="109"/>
      <c r="DB21" s="110"/>
      <c r="DC21" s="108"/>
      <c r="DD21" s="109"/>
      <c r="DE21" s="110"/>
      <c r="DF21" s="108"/>
      <c r="DG21" s="111"/>
    </row>
    <row r="22" spans="2:130" ht="19.5" customHeight="1" thickBot="1" x14ac:dyDescent="0.3">
      <c r="B22" s="121"/>
      <c r="C22" s="122">
        <v>1</v>
      </c>
      <c r="D22" s="114"/>
      <c r="E22" s="115"/>
      <c r="F22" s="116"/>
      <c r="G22" s="117"/>
      <c r="H22" s="115"/>
      <c r="I22" s="116"/>
      <c r="J22" s="117"/>
      <c r="K22" s="115"/>
      <c r="L22" s="116"/>
      <c r="M22" s="117"/>
      <c r="N22" s="115"/>
      <c r="O22" s="118"/>
      <c r="P22" s="114"/>
      <c r="Q22" s="115"/>
      <c r="R22" s="116"/>
      <c r="S22" s="117"/>
      <c r="T22" s="115"/>
      <c r="U22" s="116"/>
      <c r="V22" s="117"/>
      <c r="W22" s="115"/>
      <c r="X22" s="137"/>
      <c r="Y22" s="117"/>
      <c r="Z22" s="115"/>
      <c r="AA22" s="118"/>
      <c r="AB22" s="114"/>
      <c r="AC22" s="115"/>
      <c r="AD22" s="116"/>
      <c r="AE22" s="117"/>
      <c r="AF22" s="115"/>
      <c r="AG22" s="116"/>
      <c r="AH22" s="117"/>
      <c r="AI22" s="115"/>
      <c r="AJ22" s="116"/>
      <c r="AK22" s="117"/>
      <c r="AL22" s="115"/>
      <c r="AM22" s="118"/>
      <c r="AN22" s="114"/>
      <c r="AO22" s="115"/>
      <c r="AP22" s="116"/>
      <c r="AQ22" s="117"/>
      <c r="AR22" s="115"/>
      <c r="AS22" s="116"/>
      <c r="AT22" s="117"/>
      <c r="AU22" s="115"/>
      <c r="AV22" s="116"/>
      <c r="AW22" s="117"/>
      <c r="AX22" s="115"/>
      <c r="AY22" s="118"/>
      <c r="AZ22" s="114"/>
      <c r="BA22" s="115"/>
      <c r="BB22" s="116"/>
      <c r="BC22" s="117"/>
      <c r="BD22" s="115"/>
      <c r="BE22" s="116"/>
      <c r="BF22" s="117"/>
      <c r="BG22" s="115"/>
      <c r="BH22" s="116"/>
      <c r="BI22" s="117"/>
      <c r="BJ22" s="115"/>
      <c r="BK22" s="118"/>
      <c r="BL22" s="114"/>
      <c r="BM22" s="115"/>
      <c r="BN22" s="116"/>
      <c r="BO22" s="117"/>
      <c r="BP22" s="115"/>
      <c r="BQ22" s="116"/>
      <c r="BR22" s="117"/>
      <c r="BS22" s="115"/>
      <c r="BT22" s="116"/>
      <c r="BU22" s="117"/>
      <c r="BV22" s="115"/>
      <c r="BW22" s="118"/>
      <c r="BX22" s="114"/>
      <c r="BY22" s="115"/>
      <c r="BZ22" s="116"/>
      <c r="CA22" s="117"/>
      <c r="CB22" s="115"/>
      <c r="CC22" s="116"/>
      <c r="CD22" s="117"/>
      <c r="CE22" s="115"/>
      <c r="CF22" s="116"/>
      <c r="CG22" s="117"/>
      <c r="CH22" s="115"/>
      <c r="CI22" s="118"/>
      <c r="CJ22" s="114"/>
      <c r="CK22" s="115"/>
      <c r="CL22" s="116"/>
      <c r="CM22" s="117"/>
      <c r="CN22" s="115"/>
      <c r="CO22" s="116"/>
      <c r="CP22" s="117"/>
      <c r="CQ22" s="115"/>
      <c r="CR22" s="116"/>
      <c r="CS22" s="117"/>
      <c r="CT22" s="115"/>
      <c r="CU22" s="118"/>
      <c r="CV22" s="114"/>
      <c r="CW22" s="115"/>
      <c r="CX22" s="116"/>
      <c r="CY22" s="117"/>
      <c r="CZ22" s="115"/>
      <c r="DA22" s="116"/>
      <c r="DB22" s="117"/>
      <c r="DC22" s="115"/>
      <c r="DD22" s="116"/>
      <c r="DE22" s="117"/>
      <c r="DF22" s="115"/>
      <c r="DG22" s="118"/>
    </row>
    <row r="23" spans="2:130" ht="19.5" customHeight="1" x14ac:dyDescent="0.25">
      <c r="B23" s="123" t="str">
        <f>Donnees!$C$30</f>
        <v>Rechercher</v>
      </c>
      <c r="C23" s="120">
        <v>1</v>
      </c>
      <c r="D23" s="107"/>
      <c r="E23" s="108"/>
      <c r="F23" s="109"/>
      <c r="G23" s="110"/>
      <c r="H23" s="108"/>
      <c r="I23" s="109"/>
      <c r="J23" s="110"/>
      <c r="K23" s="108"/>
      <c r="L23" s="109"/>
      <c r="M23" s="110"/>
      <c r="N23" s="108"/>
      <c r="O23" s="145"/>
      <c r="P23" s="107"/>
      <c r="Q23" s="108"/>
      <c r="R23" s="109"/>
      <c r="S23" s="110"/>
      <c r="T23" s="108"/>
      <c r="U23" s="109"/>
      <c r="V23" s="110"/>
      <c r="W23" s="108"/>
      <c r="X23" s="109"/>
      <c r="Y23" s="110"/>
      <c r="Z23" s="108"/>
      <c r="AA23" s="111"/>
      <c r="AB23" s="107"/>
      <c r="AC23" s="108"/>
      <c r="AD23" s="109"/>
      <c r="AE23" s="110"/>
      <c r="AF23" s="108"/>
      <c r="AG23" s="109"/>
      <c r="AH23" s="110"/>
      <c r="AI23" s="108"/>
      <c r="AJ23" s="109"/>
      <c r="AK23" s="110"/>
      <c r="AL23" s="108"/>
      <c r="AM23" s="111"/>
      <c r="AN23" s="107"/>
      <c r="AO23" s="108"/>
      <c r="AP23" s="109"/>
      <c r="AQ23" s="110"/>
      <c r="AR23" s="108"/>
      <c r="AS23" s="109"/>
      <c r="AT23" s="110"/>
      <c r="AU23" s="108"/>
      <c r="AV23" s="109"/>
      <c r="AW23" s="110"/>
      <c r="AX23" s="108"/>
      <c r="AY23" s="111"/>
      <c r="AZ23" s="107"/>
      <c r="BA23" s="108"/>
      <c r="BB23" s="109"/>
      <c r="BC23" s="110"/>
      <c r="BD23" s="108"/>
      <c r="BE23" s="109"/>
      <c r="BF23" s="110"/>
      <c r="BG23" s="108"/>
      <c r="BH23" s="109"/>
      <c r="BI23" s="110"/>
      <c r="BJ23" s="108"/>
      <c r="BK23" s="111"/>
      <c r="BL23" s="107"/>
      <c r="BM23" s="108"/>
      <c r="BN23" s="109"/>
      <c r="BO23" s="110"/>
      <c r="BP23" s="108"/>
      <c r="BQ23" s="109"/>
      <c r="BR23" s="110"/>
      <c r="BS23" s="108"/>
      <c r="BT23" s="109"/>
      <c r="BU23" s="110"/>
      <c r="BV23" s="108"/>
      <c r="BW23" s="111"/>
      <c r="BX23" s="107"/>
      <c r="BY23" s="108"/>
      <c r="BZ23" s="109"/>
      <c r="CA23" s="110"/>
      <c r="CB23" s="108"/>
      <c r="CC23" s="109"/>
      <c r="CD23" s="110"/>
      <c r="CE23" s="108"/>
      <c r="CF23" s="109"/>
      <c r="CG23" s="110"/>
      <c r="CH23" s="108"/>
      <c r="CI23" s="111"/>
      <c r="CJ23" s="107"/>
      <c r="CK23" s="108"/>
      <c r="CL23" s="109"/>
      <c r="CM23" s="110"/>
      <c r="CN23" s="108"/>
      <c r="CO23" s="109"/>
      <c r="CP23" s="110"/>
      <c r="CQ23" s="108"/>
      <c r="CR23" s="109"/>
      <c r="CS23" s="110"/>
      <c r="CT23" s="108"/>
      <c r="CU23" s="111"/>
      <c r="CV23" s="107"/>
      <c r="CW23" s="108"/>
      <c r="CX23" s="109"/>
      <c r="CY23" s="110"/>
      <c r="CZ23" s="108"/>
      <c r="DA23" s="109"/>
      <c r="DB23" s="110"/>
      <c r="DC23" s="108"/>
      <c r="DD23" s="109"/>
      <c r="DE23" s="110"/>
      <c r="DF23" s="108"/>
      <c r="DG23" s="111"/>
    </row>
    <row r="24" spans="2:130" ht="19.5" customHeight="1" x14ac:dyDescent="0.25">
      <c r="B24" s="121"/>
      <c r="C24" s="122">
        <v>0</v>
      </c>
      <c r="D24" s="114"/>
      <c r="E24" s="115"/>
      <c r="F24" s="116"/>
      <c r="G24" s="117"/>
      <c r="H24" s="115"/>
      <c r="I24" s="116"/>
      <c r="J24" s="117"/>
      <c r="K24" s="115"/>
      <c r="L24" s="116"/>
      <c r="M24" s="117"/>
      <c r="N24" s="115"/>
      <c r="O24" s="118"/>
      <c r="P24" s="114"/>
      <c r="Q24" s="115"/>
      <c r="R24" s="116"/>
      <c r="S24" s="117"/>
      <c r="T24" s="115"/>
      <c r="U24" s="116"/>
      <c r="V24" s="117"/>
      <c r="W24" s="115"/>
      <c r="X24" s="116"/>
      <c r="Y24" s="117"/>
      <c r="Z24" s="115"/>
      <c r="AA24" s="118"/>
      <c r="AB24" s="114"/>
      <c r="AC24" s="115"/>
      <c r="AD24" s="116"/>
      <c r="AE24" s="117"/>
      <c r="AF24" s="115"/>
      <c r="AG24" s="116"/>
      <c r="AH24" s="117"/>
      <c r="AI24" s="115"/>
      <c r="AJ24" s="116"/>
      <c r="AK24" s="117"/>
      <c r="AL24" s="115"/>
      <c r="AM24" s="118"/>
      <c r="AN24" s="114"/>
      <c r="AO24" s="115"/>
      <c r="AP24" s="116"/>
      <c r="AQ24" s="117"/>
      <c r="AR24" s="115"/>
      <c r="AS24" s="116"/>
      <c r="AT24" s="117"/>
      <c r="AU24" s="115"/>
      <c r="AV24" s="116"/>
      <c r="AW24" s="117"/>
      <c r="AX24" s="115"/>
      <c r="AY24" s="118"/>
      <c r="AZ24" s="114"/>
      <c r="BA24" s="115"/>
      <c r="BB24" s="116"/>
      <c r="BC24" s="117"/>
      <c r="BD24" s="115"/>
      <c r="BE24" s="116"/>
      <c r="BF24" s="117"/>
      <c r="BG24" s="115"/>
      <c r="BH24" s="116"/>
      <c r="BI24" s="117"/>
      <c r="BJ24" s="115"/>
      <c r="BK24" s="118"/>
      <c r="BL24" s="114"/>
      <c r="BM24" s="115"/>
      <c r="BN24" s="116"/>
      <c r="BO24" s="117"/>
      <c r="BP24" s="115"/>
      <c r="BQ24" s="116"/>
      <c r="BR24" s="117"/>
      <c r="BS24" s="115"/>
      <c r="BT24" s="116"/>
      <c r="BU24" s="117"/>
      <c r="BV24" s="115"/>
      <c r="BW24" s="118"/>
      <c r="BX24" s="114"/>
      <c r="BY24" s="115"/>
      <c r="BZ24" s="116"/>
      <c r="CA24" s="117"/>
      <c r="CB24" s="115"/>
      <c r="CC24" s="116"/>
      <c r="CD24" s="117"/>
      <c r="CE24" s="115"/>
      <c r="CF24" s="116"/>
      <c r="CG24" s="117"/>
      <c r="CH24" s="115"/>
      <c r="CI24" s="118"/>
      <c r="CJ24" s="114"/>
      <c r="CK24" s="115"/>
      <c r="CL24" s="116"/>
      <c r="CM24" s="117"/>
      <c r="CN24" s="115"/>
      <c r="CO24" s="116"/>
      <c r="CP24" s="117"/>
      <c r="CQ24" s="115"/>
      <c r="CR24" s="116"/>
      <c r="CS24" s="117"/>
      <c r="CT24" s="115"/>
      <c r="CU24" s="118"/>
      <c r="CV24" s="114"/>
      <c r="CW24" s="115"/>
      <c r="CX24" s="116"/>
      <c r="CY24" s="117"/>
      <c r="CZ24" s="115"/>
      <c r="DA24" s="116"/>
      <c r="DB24" s="117"/>
      <c r="DC24" s="115"/>
      <c r="DD24" s="116"/>
      <c r="DE24" s="117"/>
      <c r="DF24" s="115"/>
      <c r="DG24" s="118"/>
    </row>
    <row r="25" spans="2:130" ht="19.5" customHeight="1" x14ac:dyDescent="0.25">
      <c r="B25" s="125" t="s">
        <v>16</v>
      </c>
      <c r="C25" s="126">
        <f>SUM($C$3,$C$5,$C$7,$C$9,$C$11,$C$13,$C$15,$C$17,$C$19,$C$21,$C$23)</f>
        <v>108</v>
      </c>
      <c r="D25" s="127"/>
      <c r="E25" s="128"/>
      <c r="F25" s="128"/>
      <c r="G25" s="128"/>
      <c r="H25" s="128"/>
      <c r="I25" s="128"/>
      <c r="J25" s="128"/>
      <c r="K25" s="128"/>
      <c r="L25" s="128"/>
      <c r="M25" s="128"/>
      <c r="N25" s="128"/>
      <c r="O25" s="129"/>
      <c r="P25" s="127"/>
      <c r="Q25" s="128"/>
      <c r="R25" s="128"/>
      <c r="S25" s="128"/>
      <c r="T25" s="128"/>
      <c r="U25" s="128"/>
      <c r="V25" s="128"/>
      <c r="W25" s="128"/>
      <c r="X25" s="128"/>
      <c r="Y25" s="128"/>
      <c r="Z25" s="128"/>
      <c r="AA25" s="129"/>
      <c r="AB25" s="127"/>
      <c r="AC25" s="128"/>
      <c r="AD25" s="128"/>
      <c r="AE25" s="128"/>
      <c r="AF25" s="128"/>
      <c r="AG25" s="128"/>
      <c r="AH25" s="128"/>
      <c r="AI25" s="128"/>
      <c r="AJ25" s="128"/>
      <c r="AK25" s="128"/>
      <c r="AL25" s="128"/>
      <c r="AM25" s="129"/>
      <c r="AN25" s="127"/>
      <c r="AO25" s="128"/>
      <c r="AP25" s="128"/>
      <c r="AQ25" s="128"/>
      <c r="AR25" s="128"/>
      <c r="AS25" s="128"/>
      <c r="AT25" s="128"/>
      <c r="AU25" s="128"/>
      <c r="AV25" s="128"/>
      <c r="AW25" s="128"/>
      <c r="AX25" s="128"/>
      <c r="AY25" s="129"/>
      <c r="AZ25" s="127"/>
      <c r="BA25" s="128"/>
      <c r="BB25" s="128"/>
      <c r="BC25" s="128"/>
      <c r="BD25" s="128"/>
      <c r="BE25" s="128"/>
      <c r="BF25" s="128"/>
      <c r="BG25" s="128"/>
      <c r="BH25" s="128"/>
      <c r="BI25" s="128"/>
      <c r="BJ25" s="128"/>
      <c r="BK25" s="129"/>
      <c r="BL25" s="127"/>
      <c r="BM25" s="128"/>
      <c r="BN25" s="128"/>
      <c r="BO25" s="128"/>
      <c r="BP25" s="128"/>
      <c r="BQ25" s="128"/>
      <c r="BR25" s="128"/>
      <c r="BS25" s="128"/>
      <c r="BT25" s="128"/>
      <c r="BU25" s="128"/>
      <c r="BV25" s="128"/>
      <c r="BW25" s="129"/>
      <c r="BX25" s="127"/>
      <c r="BY25" s="128"/>
      <c r="BZ25" s="128"/>
      <c r="CA25" s="128"/>
      <c r="CB25" s="128"/>
      <c r="CC25" s="128"/>
      <c r="CD25" s="128"/>
      <c r="CE25" s="128"/>
      <c r="CF25" s="128"/>
      <c r="CG25" s="128"/>
      <c r="CH25" s="128"/>
      <c r="CI25" s="129"/>
      <c r="CJ25" s="127"/>
      <c r="CK25" s="128"/>
      <c r="CL25" s="128"/>
      <c r="CM25" s="128"/>
      <c r="CN25" s="128"/>
      <c r="CO25" s="128"/>
      <c r="CP25" s="128"/>
      <c r="CQ25" s="128"/>
      <c r="CR25" s="128"/>
      <c r="CS25" s="128"/>
      <c r="CT25" s="128"/>
      <c r="CU25" s="129"/>
      <c r="CV25" s="127"/>
      <c r="CW25" s="128"/>
      <c r="CX25" s="128"/>
      <c r="CY25" s="128"/>
      <c r="CZ25" s="128"/>
      <c r="DA25" s="128"/>
      <c r="DB25" s="128"/>
      <c r="DC25" s="128"/>
      <c r="DD25" s="128"/>
      <c r="DE25" s="128"/>
      <c r="DF25" s="128"/>
      <c r="DG25" s="129"/>
    </row>
    <row r="26" spans="2:130" ht="19.5" customHeight="1" thickBot="1" x14ac:dyDescent="0.3">
      <c r="B26" s="130" t="s">
        <v>17</v>
      </c>
      <c r="C26" s="131">
        <f>SUM($C$4,$C$6,$C$8,$C$10,$C$12,$C$14,$C$16,$C$18,$C$20,$C$22,$C$24)</f>
        <v>108</v>
      </c>
      <c r="D26" s="132"/>
      <c r="E26" s="133"/>
      <c r="F26" s="133"/>
      <c r="G26" s="133"/>
      <c r="H26" s="133"/>
      <c r="I26" s="133"/>
      <c r="J26" s="133"/>
      <c r="K26" s="133"/>
      <c r="L26" s="133"/>
      <c r="M26" s="133"/>
      <c r="N26" s="133"/>
      <c r="O26" s="134"/>
      <c r="P26" s="132"/>
      <c r="Q26" s="133"/>
      <c r="R26" s="133"/>
      <c r="S26" s="133"/>
      <c r="T26" s="133"/>
      <c r="U26" s="133"/>
      <c r="V26" s="133"/>
      <c r="W26" s="133"/>
      <c r="X26" s="133"/>
      <c r="Y26" s="133"/>
      <c r="Z26" s="133"/>
      <c r="AA26" s="134"/>
      <c r="AB26" s="132"/>
      <c r="AC26" s="133"/>
      <c r="AD26" s="133"/>
      <c r="AE26" s="133"/>
      <c r="AF26" s="133"/>
      <c r="AG26" s="133"/>
      <c r="AH26" s="133"/>
      <c r="AI26" s="133"/>
      <c r="AJ26" s="133"/>
      <c r="AK26" s="133"/>
      <c r="AL26" s="133"/>
      <c r="AM26" s="134"/>
      <c r="AN26" s="132"/>
      <c r="AO26" s="133"/>
      <c r="AP26" s="133"/>
      <c r="AQ26" s="133"/>
      <c r="AR26" s="133"/>
      <c r="AS26" s="133"/>
      <c r="AT26" s="133"/>
      <c r="AU26" s="133"/>
      <c r="AV26" s="133"/>
      <c r="AW26" s="133"/>
      <c r="AX26" s="133"/>
      <c r="AY26" s="134"/>
      <c r="AZ26" s="132"/>
      <c r="BA26" s="133"/>
      <c r="BB26" s="133"/>
      <c r="BC26" s="133"/>
      <c r="BD26" s="133"/>
      <c r="BE26" s="133"/>
      <c r="BF26" s="133"/>
      <c r="BG26" s="133"/>
      <c r="BH26" s="133"/>
      <c r="BI26" s="133"/>
      <c r="BJ26" s="133"/>
      <c r="BK26" s="134"/>
      <c r="BL26" s="132"/>
      <c r="BM26" s="133"/>
      <c r="BN26" s="133"/>
      <c r="BO26" s="133"/>
      <c r="BP26" s="133"/>
      <c r="BQ26" s="133"/>
      <c r="BR26" s="133"/>
      <c r="BS26" s="133"/>
      <c r="BT26" s="133"/>
      <c r="BU26" s="133"/>
      <c r="BV26" s="133"/>
      <c r="BW26" s="134"/>
      <c r="BX26" s="132"/>
      <c r="BY26" s="133"/>
      <c r="BZ26" s="133"/>
      <c r="CA26" s="133"/>
      <c r="CB26" s="133"/>
      <c r="CC26" s="133"/>
      <c r="CD26" s="133"/>
      <c r="CE26" s="133"/>
      <c r="CF26" s="133"/>
      <c r="CG26" s="133"/>
      <c r="CH26" s="133"/>
      <c r="CI26" s="134"/>
      <c r="CJ26" s="132"/>
      <c r="CK26" s="133"/>
      <c r="CL26" s="133"/>
      <c r="CM26" s="133"/>
      <c r="CN26" s="133"/>
      <c r="CO26" s="133"/>
      <c r="CP26" s="133"/>
      <c r="CQ26" s="133"/>
      <c r="CR26" s="133"/>
      <c r="CS26" s="133"/>
      <c r="CT26" s="133"/>
      <c r="CU26" s="134"/>
      <c r="CV26" s="132"/>
      <c r="CW26" s="133"/>
      <c r="CX26" s="133"/>
      <c r="CY26" s="133"/>
      <c r="CZ26" s="133"/>
      <c r="DA26" s="133"/>
      <c r="DB26" s="133"/>
      <c r="DC26" s="133"/>
      <c r="DD26" s="133"/>
      <c r="DE26" s="133"/>
      <c r="DF26" s="133"/>
      <c r="DG26" s="134"/>
    </row>
  </sheetData>
  <sheetProtection sheet="1" objects="1" scenarios="1" insertRows="0" selectLockedCells="1"/>
  <mergeCells count="20">
    <mergeCell ref="CJ2:CU2"/>
    <mergeCell ref="CV2:DG2"/>
    <mergeCell ref="P2:AA2"/>
    <mergeCell ref="AB2:AM2"/>
    <mergeCell ref="AN2:AY2"/>
    <mergeCell ref="AZ2:BK2"/>
    <mergeCell ref="BL2:BW2"/>
    <mergeCell ref="BX2:CI2"/>
    <mergeCell ref="B15:B16"/>
    <mergeCell ref="B17:B18"/>
    <mergeCell ref="B19:B20"/>
    <mergeCell ref="B21:B22"/>
    <mergeCell ref="B23:B24"/>
    <mergeCell ref="D2:O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5" xr:uid="{E540D7DC-1DEC-4CA8-90FF-8D1D7870B9DE}">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5" t="s">
        <v>21</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146050</xdr:colOff>
                <xdr:row>3</xdr:row>
                <xdr:rowOff>63500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5ECD-F8BA-405E-AE61-E267738A36BF}">
  <sheetPr codeName="Feuil5"/>
  <dimension ref="A1:H127"/>
  <sheetViews>
    <sheetView tabSelected="1" workbookViewId="0"/>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1" t="s">
        <v>33</v>
      </c>
      <c r="B3" s="2">
        <v>4</v>
      </c>
      <c r="C3" s="89" t="s">
        <v>39</v>
      </c>
      <c r="D3" s="9"/>
    </row>
    <row r="4" spans="1:4" s="52" customFormat="1" x14ac:dyDescent="0.25">
      <c r="A4" s="1" t="s">
        <v>31</v>
      </c>
      <c r="B4" s="2">
        <v>4</v>
      </c>
      <c r="C4" s="89" t="s">
        <v>40</v>
      </c>
      <c r="D4" s="10"/>
    </row>
    <row r="5" spans="1:4" s="52" customFormat="1" x14ac:dyDescent="0.25">
      <c r="A5" s="1" t="s">
        <v>34</v>
      </c>
      <c r="B5" s="2">
        <v>3</v>
      </c>
      <c r="C5" s="89" t="s">
        <v>41</v>
      </c>
      <c r="D5" s="10"/>
    </row>
    <row r="6" spans="1:4" s="52" customFormat="1" x14ac:dyDescent="0.25">
      <c r="A6" s="1" t="s">
        <v>42</v>
      </c>
      <c r="B6" s="2">
        <v>1</v>
      </c>
      <c r="C6" s="52" t="s">
        <v>43</v>
      </c>
      <c r="D6" s="10"/>
    </row>
    <row r="7" spans="1:4" s="52" customFormat="1" x14ac:dyDescent="0.25">
      <c r="A7" s="10"/>
      <c r="B7" s="2"/>
      <c r="C7" s="10"/>
      <c r="D7" s="10"/>
    </row>
    <row r="8" spans="1:4" s="52" customFormat="1" x14ac:dyDescent="0.25">
      <c r="A8" s="2"/>
      <c r="B8" s="2"/>
      <c r="C8" s="10"/>
      <c r="D8" s="10"/>
    </row>
    <row r="9" spans="1:4" s="52" customFormat="1" x14ac:dyDescent="0.25">
      <c r="A9" s="2"/>
      <c r="B9" s="2"/>
      <c r="C9" s="10"/>
      <c r="D9" s="10"/>
    </row>
    <row r="10" spans="1:4" s="52" customFormat="1" x14ac:dyDescent="0.25">
      <c r="A10" s="2"/>
      <c r="B10" s="2"/>
      <c r="D10" s="10"/>
    </row>
    <row r="11" spans="1:4" s="52" customFormat="1" x14ac:dyDescent="0.25">
      <c r="B11" s="2"/>
      <c r="C11" s="10"/>
      <c r="D11" s="10"/>
    </row>
    <row r="12" spans="1:4" s="52" customFormat="1" ht="13" thickBot="1" x14ac:dyDescent="0.3">
      <c r="A12" s="3"/>
      <c r="B12" s="3"/>
      <c r="C12" s="11"/>
      <c r="D12" s="11"/>
    </row>
    <row r="13" spans="1:4" ht="13" thickBot="1" x14ac:dyDescent="0.3">
      <c r="A13" s="12" t="s">
        <v>22</v>
      </c>
      <c r="B13" s="12">
        <f>SUM(B3:B12)</f>
        <v>12</v>
      </c>
      <c r="C13" s="86" t="s">
        <v>37</v>
      </c>
      <c r="D13" s="13"/>
    </row>
    <row r="14" spans="1:4" ht="13" thickBot="1" x14ac:dyDescent="0.3">
      <c r="A14" s="14"/>
      <c r="B14" s="14"/>
      <c r="C14" s="14"/>
      <c r="D14" s="14"/>
    </row>
    <row r="15" spans="1:4" ht="18" thickBot="1" x14ac:dyDescent="0.3">
      <c r="A15" s="6" t="s">
        <v>14</v>
      </c>
      <c r="B15" s="7">
        <v>2</v>
      </c>
      <c r="C15" s="17"/>
      <c r="D15" s="85"/>
    </row>
    <row r="16" spans="1:4" ht="23.5" thickBot="1" x14ac:dyDescent="0.3">
      <c r="A16" s="8" t="s">
        <v>3</v>
      </c>
      <c r="B16" s="18" t="s">
        <v>15</v>
      </c>
      <c r="C16" s="8" t="s">
        <v>7</v>
      </c>
      <c r="D16" s="8" t="s">
        <v>13</v>
      </c>
    </row>
    <row r="17" spans="1:8" ht="25" x14ac:dyDescent="0.25">
      <c r="A17" s="5" t="s">
        <v>31</v>
      </c>
      <c r="B17" s="4">
        <v>3</v>
      </c>
      <c r="C17" s="90" t="s">
        <v>46</v>
      </c>
      <c r="D17" s="9"/>
    </row>
    <row r="18" spans="1:8" x14ac:dyDescent="0.25">
      <c r="A18" s="1" t="s">
        <v>28</v>
      </c>
      <c r="B18" s="2">
        <v>8</v>
      </c>
      <c r="C18" s="89" t="s">
        <v>74</v>
      </c>
      <c r="D18" s="10"/>
    </row>
    <row r="19" spans="1:8" ht="37.5" x14ac:dyDescent="0.25">
      <c r="A19" s="1" t="s">
        <v>36</v>
      </c>
      <c r="B19" s="2">
        <v>1</v>
      </c>
      <c r="C19" s="10" t="s">
        <v>48</v>
      </c>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5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3" thickBot="1" x14ac:dyDescent="0.3">
      <c r="A26" s="3"/>
      <c r="B26" s="3"/>
      <c r="C26" s="11"/>
      <c r="D26" s="11"/>
      <c r="F26" s="36"/>
      <c r="G26" s="37"/>
      <c r="H26" s="37"/>
    </row>
    <row r="27" spans="1:8" ht="13" thickBot="1" x14ac:dyDescent="0.3">
      <c r="A27" s="12" t="s">
        <v>22</v>
      </c>
      <c r="B27" s="12">
        <f>SUM(B17:B26)</f>
        <v>12</v>
      </c>
      <c r="C27" s="86" t="s">
        <v>37</v>
      </c>
      <c r="D27" s="13"/>
      <c r="F27" s="36"/>
      <c r="G27" s="37"/>
      <c r="H27" s="37"/>
    </row>
    <row r="28" spans="1:8" ht="13" thickBot="1" x14ac:dyDescent="0.3">
      <c r="A28" s="14"/>
      <c r="B28" s="14"/>
      <c r="C28" s="14"/>
      <c r="D28" s="14"/>
      <c r="F28" s="36"/>
      <c r="G28" s="37"/>
      <c r="H28" s="37"/>
    </row>
    <row r="29" spans="1:8" ht="18" thickBot="1" x14ac:dyDescent="0.3">
      <c r="A29" s="6" t="s">
        <v>14</v>
      </c>
      <c r="B29" s="7">
        <v>3</v>
      </c>
      <c r="C29" s="17"/>
      <c r="D29" s="85"/>
      <c r="F29" s="36"/>
      <c r="G29" s="37"/>
      <c r="H29" s="37"/>
    </row>
    <row r="30" spans="1:8" ht="23.5" thickBot="1" x14ac:dyDescent="0.3">
      <c r="A30" s="8" t="s">
        <v>3</v>
      </c>
      <c r="B30" s="18" t="s">
        <v>15</v>
      </c>
      <c r="C30" s="8" t="s">
        <v>7</v>
      </c>
      <c r="D30" s="8" t="s">
        <v>13</v>
      </c>
      <c r="F30" s="38"/>
      <c r="G30" s="39"/>
      <c r="H30" s="39"/>
    </row>
    <row r="31" spans="1:8" x14ac:dyDescent="0.25">
      <c r="A31" s="5" t="s">
        <v>21</v>
      </c>
      <c r="B31" s="4">
        <v>12</v>
      </c>
      <c r="C31" s="9" t="s">
        <v>45</v>
      </c>
      <c r="D31" s="9"/>
      <c r="F31" s="40"/>
      <c r="G31" s="40"/>
      <c r="H31" s="40"/>
    </row>
    <row r="32" spans="1:8" x14ac:dyDescent="0.25">
      <c r="A32" s="1"/>
      <c r="B32" s="2"/>
      <c r="C32" s="10"/>
      <c r="D32" s="10"/>
    </row>
    <row r="33" spans="1:4" x14ac:dyDescent="0.25">
      <c r="A33" s="1"/>
      <c r="B33" s="2"/>
      <c r="C33" s="10"/>
      <c r="D33" s="10"/>
    </row>
    <row r="34" spans="1:4" x14ac:dyDescent="0.25">
      <c r="A34" s="1"/>
      <c r="B34" s="2"/>
      <c r="C34" s="10"/>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3" thickBot="1" x14ac:dyDescent="0.3">
      <c r="A40" s="3"/>
      <c r="B40" s="3"/>
      <c r="C40" s="11"/>
      <c r="D40" s="11"/>
    </row>
    <row r="41" spans="1:4" ht="13" thickBot="1" x14ac:dyDescent="0.3">
      <c r="A41" s="12" t="s">
        <v>22</v>
      </c>
      <c r="B41" s="12">
        <f>SUM(B31:B40)</f>
        <v>12</v>
      </c>
      <c r="C41" s="86" t="s">
        <v>37</v>
      </c>
      <c r="D41" s="13"/>
    </row>
    <row r="42" spans="1:4" ht="13" thickBot="1" x14ac:dyDescent="0.3">
      <c r="A42" s="14"/>
      <c r="B42" s="14"/>
      <c r="C42" s="14"/>
      <c r="D42" s="14"/>
    </row>
    <row r="43" spans="1:4" ht="18" thickBot="1" x14ac:dyDescent="0.3">
      <c r="A43" s="6" t="s">
        <v>14</v>
      </c>
      <c r="B43" s="7">
        <v>4</v>
      </c>
      <c r="C43" s="17"/>
      <c r="D43" s="85"/>
    </row>
    <row r="44" spans="1:4" ht="23.5" thickBot="1" x14ac:dyDescent="0.3">
      <c r="A44" s="8" t="s">
        <v>3</v>
      </c>
      <c r="B44" s="18" t="s">
        <v>15</v>
      </c>
      <c r="C44" s="8" t="s">
        <v>7</v>
      </c>
      <c r="D44" s="8" t="s">
        <v>13</v>
      </c>
    </row>
    <row r="45" spans="1:4" x14ac:dyDescent="0.25">
      <c r="A45" s="5" t="s">
        <v>28</v>
      </c>
      <c r="B45" s="4">
        <v>8</v>
      </c>
      <c r="C45" s="90" t="s">
        <v>72</v>
      </c>
      <c r="D45" s="9"/>
    </row>
    <row r="46" spans="1:4" ht="25" x14ac:dyDescent="0.25">
      <c r="A46" s="1" t="s">
        <v>29</v>
      </c>
      <c r="B46" s="2">
        <v>4</v>
      </c>
      <c r="C46" s="89" t="s">
        <v>73</v>
      </c>
      <c r="D46" s="10"/>
    </row>
    <row r="47" spans="1:4" x14ac:dyDescent="0.25">
      <c r="A47" s="1"/>
      <c r="B47" s="2"/>
      <c r="C47" s="10"/>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3" thickBot="1" x14ac:dyDescent="0.3">
      <c r="A54" s="3"/>
      <c r="B54" s="3"/>
      <c r="C54" s="11"/>
      <c r="D54" s="11"/>
    </row>
    <row r="55" spans="1:4" ht="13" thickBot="1" x14ac:dyDescent="0.3">
      <c r="A55" s="12" t="s">
        <v>22</v>
      </c>
      <c r="B55" s="12">
        <f>SUM(B45:B54)</f>
        <v>12</v>
      </c>
      <c r="C55" s="86" t="s">
        <v>37</v>
      </c>
      <c r="D55" s="13"/>
    </row>
    <row r="56" spans="1:4" ht="13" thickBot="1" x14ac:dyDescent="0.3">
      <c r="A56" s="14"/>
      <c r="B56" s="14"/>
      <c r="C56" s="14"/>
      <c r="D56" s="14"/>
    </row>
    <row r="57" spans="1:4" ht="18" thickBot="1" x14ac:dyDescent="0.3">
      <c r="A57" s="6" t="s">
        <v>14</v>
      </c>
      <c r="B57" s="7">
        <v>5</v>
      </c>
      <c r="C57" s="17"/>
      <c r="D57" s="85"/>
    </row>
    <row r="58" spans="1:4" ht="23.5" thickBot="1" x14ac:dyDescent="0.3">
      <c r="A58" s="8" t="s">
        <v>3</v>
      </c>
      <c r="B58" s="18" t="s">
        <v>15</v>
      </c>
      <c r="C58" s="8" t="s">
        <v>7</v>
      </c>
      <c r="D58" s="8" t="s">
        <v>13</v>
      </c>
    </row>
    <row r="59" spans="1:4" ht="25" x14ac:dyDescent="0.25">
      <c r="A59" s="5" t="s">
        <v>28</v>
      </c>
      <c r="B59" s="4">
        <v>8</v>
      </c>
      <c r="C59" s="90" t="s">
        <v>53</v>
      </c>
      <c r="D59" s="9"/>
    </row>
    <row r="60" spans="1:4" x14ac:dyDescent="0.25">
      <c r="A60" s="1" t="s">
        <v>29</v>
      </c>
      <c r="B60" s="2">
        <v>4</v>
      </c>
      <c r="C60" s="89" t="s">
        <v>75</v>
      </c>
      <c r="D60" s="10"/>
    </row>
    <row r="61" spans="1:4" x14ac:dyDescent="0.25">
      <c r="A61" s="1"/>
      <c r="B61" s="2"/>
      <c r="C61" s="89"/>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3" thickBot="1" x14ac:dyDescent="0.3">
      <c r="A68" s="3"/>
      <c r="B68" s="3"/>
      <c r="C68" s="11"/>
      <c r="D68" s="11"/>
    </row>
    <row r="69" spans="1:4" ht="13" thickBot="1" x14ac:dyDescent="0.3">
      <c r="A69" s="12" t="s">
        <v>22</v>
      </c>
      <c r="B69" s="12">
        <f>SUM(B59:B68)</f>
        <v>12</v>
      </c>
      <c r="C69" s="86" t="s">
        <v>37</v>
      </c>
      <c r="D69" s="13"/>
    </row>
    <row r="70" spans="1:4" ht="13" thickBot="1" x14ac:dyDescent="0.3">
      <c r="A70" s="14"/>
      <c r="B70" s="14"/>
      <c r="C70" s="14"/>
      <c r="D70" s="14"/>
    </row>
    <row r="71" spans="1:4" ht="18" thickBot="1" x14ac:dyDescent="0.3">
      <c r="A71" s="6" t="s">
        <v>14</v>
      </c>
      <c r="B71" s="7">
        <v>6</v>
      </c>
      <c r="C71" s="17"/>
      <c r="D71" s="85"/>
    </row>
    <row r="72" spans="1:4" ht="23.5" thickBot="1" x14ac:dyDescent="0.3">
      <c r="A72" s="8" t="s">
        <v>3</v>
      </c>
      <c r="B72" s="18" t="s">
        <v>15</v>
      </c>
      <c r="C72" s="8" t="s">
        <v>7</v>
      </c>
      <c r="D72" s="8" t="s">
        <v>13</v>
      </c>
    </row>
    <row r="73" spans="1:4" ht="25" x14ac:dyDescent="0.25">
      <c r="A73" s="5" t="s">
        <v>29</v>
      </c>
      <c r="B73" s="4">
        <v>12</v>
      </c>
      <c r="C73" s="90" t="s">
        <v>76</v>
      </c>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3" thickBot="1" x14ac:dyDescent="0.3">
      <c r="A82" s="3"/>
      <c r="B82" s="3"/>
      <c r="C82" s="11"/>
      <c r="D82" s="11"/>
    </row>
    <row r="83" spans="1:4" ht="13" thickBot="1" x14ac:dyDescent="0.3">
      <c r="A83" s="12" t="s">
        <v>22</v>
      </c>
      <c r="B83" s="12">
        <f>SUM(B73:B82)</f>
        <v>12</v>
      </c>
      <c r="C83" s="86" t="s">
        <v>37</v>
      </c>
      <c r="D83" s="13"/>
    </row>
    <row r="84" spans="1:4" ht="13" thickBot="1" x14ac:dyDescent="0.3">
      <c r="A84" s="14"/>
      <c r="B84" s="14"/>
      <c r="C84" s="14"/>
      <c r="D84" s="14"/>
    </row>
    <row r="85" spans="1:4" ht="18" thickBot="1" x14ac:dyDescent="0.3">
      <c r="A85" s="6" t="s">
        <v>14</v>
      </c>
      <c r="B85" s="7">
        <v>7</v>
      </c>
      <c r="C85" s="17"/>
      <c r="D85" s="85"/>
    </row>
    <row r="86" spans="1:4" ht="23.5" thickBot="1" x14ac:dyDescent="0.3">
      <c r="A86" s="8" t="s">
        <v>3</v>
      </c>
      <c r="B86" s="18" t="s">
        <v>15</v>
      </c>
      <c r="C86" s="8" t="s">
        <v>7</v>
      </c>
      <c r="D86" s="8" t="s">
        <v>13</v>
      </c>
    </row>
    <row r="87" spans="1:4" ht="25" x14ac:dyDescent="0.25">
      <c r="A87" s="5" t="s">
        <v>29</v>
      </c>
      <c r="B87" s="4">
        <v>5</v>
      </c>
      <c r="C87" s="90" t="s">
        <v>77</v>
      </c>
      <c r="D87" s="9"/>
    </row>
    <row r="88" spans="1:4" ht="25" x14ac:dyDescent="0.25">
      <c r="A88" s="1" t="s">
        <v>30</v>
      </c>
      <c r="B88" s="2">
        <v>3</v>
      </c>
      <c r="C88" s="89" t="s">
        <v>59</v>
      </c>
      <c r="D88" s="10"/>
    </row>
    <row r="89" spans="1:4" ht="25" x14ac:dyDescent="0.25">
      <c r="A89" s="1" t="s">
        <v>29</v>
      </c>
      <c r="B89" s="2">
        <v>3</v>
      </c>
      <c r="C89" s="89" t="s">
        <v>78</v>
      </c>
      <c r="D89" s="10"/>
    </row>
    <row r="90" spans="1:4" ht="25" x14ac:dyDescent="0.25">
      <c r="A90" s="1" t="s">
        <v>30</v>
      </c>
      <c r="B90" s="2">
        <v>1</v>
      </c>
      <c r="C90" s="89" t="s">
        <v>79</v>
      </c>
      <c r="D90" s="10"/>
    </row>
    <row r="91" spans="1:4" x14ac:dyDescent="0.25">
      <c r="A91" s="1"/>
      <c r="B91" s="2"/>
      <c r="C91" s="89"/>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3" thickBot="1" x14ac:dyDescent="0.3">
      <c r="A96" s="3"/>
      <c r="B96" s="3"/>
      <c r="C96" s="11"/>
      <c r="D96" s="11"/>
    </row>
    <row r="97" spans="1:4" ht="13" thickBot="1" x14ac:dyDescent="0.3">
      <c r="A97" s="12" t="s">
        <v>22</v>
      </c>
      <c r="B97" s="12">
        <f>SUM(B87:B96)</f>
        <v>12</v>
      </c>
      <c r="C97" s="86" t="s">
        <v>37</v>
      </c>
      <c r="D97" s="13"/>
    </row>
    <row r="98" spans="1:4" ht="13" thickBot="1" x14ac:dyDescent="0.3">
      <c r="A98" s="14"/>
      <c r="B98" s="14"/>
      <c r="C98" s="14"/>
      <c r="D98" s="14"/>
    </row>
    <row r="99" spans="1:4" ht="18" thickBot="1" x14ac:dyDescent="0.3">
      <c r="A99" s="6" t="s">
        <v>14</v>
      </c>
      <c r="B99" s="7">
        <v>8</v>
      </c>
      <c r="C99" s="17"/>
      <c r="D99" s="85"/>
    </row>
    <row r="100" spans="1:4" ht="23.5" thickBot="1" x14ac:dyDescent="0.3">
      <c r="A100" s="8" t="s">
        <v>3</v>
      </c>
      <c r="B100" s="18" t="s">
        <v>15</v>
      </c>
      <c r="C100" s="8" t="s">
        <v>7</v>
      </c>
      <c r="D100" s="8" t="s">
        <v>13</v>
      </c>
    </row>
    <row r="101" spans="1:4" x14ac:dyDescent="0.25">
      <c r="A101" s="5" t="s">
        <v>30</v>
      </c>
      <c r="B101" s="4">
        <v>5</v>
      </c>
      <c r="C101" s="90" t="s">
        <v>80</v>
      </c>
      <c r="D101" s="9"/>
    </row>
    <row r="102" spans="1:4" ht="25" x14ac:dyDescent="0.25">
      <c r="A102" s="1" t="s">
        <v>29</v>
      </c>
      <c r="B102" s="2">
        <v>3</v>
      </c>
      <c r="C102" s="89" t="s">
        <v>82</v>
      </c>
      <c r="D102" s="10"/>
    </row>
    <row r="103" spans="1:4" x14ac:dyDescent="0.25">
      <c r="A103" s="1" t="s">
        <v>29</v>
      </c>
      <c r="B103" s="2">
        <v>4</v>
      </c>
      <c r="C103" s="89" t="s">
        <v>81</v>
      </c>
      <c r="D103" s="10"/>
    </row>
    <row r="104" spans="1:4" x14ac:dyDescent="0.25">
      <c r="A104" s="52"/>
      <c r="B104" s="52"/>
      <c r="C104" s="52"/>
      <c r="D104" s="10"/>
    </row>
    <row r="105" spans="1:4" x14ac:dyDescent="0.25">
      <c r="A105" s="1"/>
      <c r="B105" s="2"/>
      <c r="C105" s="89"/>
      <c r="D105" s="10"/>
    </row>
    <row r="106" spans="1:4" x14ac:dyDescent="0.25">
      <c r="A106" s="1"/>
      <c r="B106" s="2"/>
      <c r="C106" s="89"/>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3" thickBot="1" x14ac:dyDescent="0.3">
      <c r="A110" s="3"/>
      <c r="B110" s="3"/>
      <c r="C110" s="11"/>
      <c r="D110" s="11"/>
    </row>
    <row r="111" spans="1:4" ht="13" thickBot="1" x14ac:dyDescent="0.3">
      <c r="A111" s="12" t="s">
        <v>22</v>
      </c>
      <c r="B111" s="12">
        <f>SUM(B101:B110)</f>
        <v>12</v>
      </c>
      <c r="C111" s="86" t="s">
        <v>37</v>
      </c>
      <c r="D111" s="13"/>
    </row>
    <row r="112" spans="1:4" ht="13" thickBot="1" x14ac:dyDescent="0.3">
      <c r="A112" s="14"/>
      <c r="B112" s="14"/>
      <c r="C112" s="14"/>
      <c r="D112" s="14"/>
    </row>
    <row r="113" spans="1:4" ht="18" thickBot="1" x14ac:dyDescent="0.3">
      <c r="A113" s="6" t="s">
        <v>14</v>
      </c>
      <c r="B113" s="7">
        <v>9</v>
      </c>
      <c r="C113" s="17"/>
      <c r="D113" s="85"/>
    </row>
    <row r="114" spans="1:4" ht="23.5" thickBot="1" x14ac:dyDescent="0.3">
      <c r="A114" s="8" t="s">
        <v>3</v>
      </c>
      <c r="B114" s="18" t="s">
        <v>15</v>
      </c>
      <c r="C114" s="8" t="s">
        <v>7</v>
      </c>
      <c r="D114" s="8" t="s">
        <v>13</v>
      </c>
    </row>
    <row r="115" spans="1:4" x14ac:dyDescent="0.25">
      <c r="A115" s="5" t="s">
        <v>28</v>
      </c>
      <c r="B115" s="4">
        <v>12</v>
      </c>
      <c r="C115" s="90" t="s">
        <v>83</v>
      </c>
      <c r="D115" s="9"/>
    </row>
    <row r="116" spans="1:4" x14ac:dyDescent="0.25">
      <c r="A116" s="1" t="s">
        <v>28</v>
      </c>
      <c r="B116" s="2">
        <v>3</v>
      </c>
      <c r="C116" s="89" t="s">
        <v>69</v>
      </c>
      <c r="D116" s="10"/>
    </row>
    <row r="117" spans="1:4" x14ac:dyDescent="0.25">
      <c r="A117" s="1" t="s">
        <v>29</v>
      </c>
      <c r="B117" s="2">
        <v>4</v>
      </c>
      <c r="C117" s="89" t="s">
        <v>70</v>
      </c>
      <c r="D117" s="10"/>
    </row>
    <row r="118" spans="1:4" x14ac:dyDescent="0.25">
      <c r="A118" s="1" t="s">
        <v>34</v>
      </c>
      <c r="B118" s="2">
        <v>4</v>
      </c>
      <c r="C118" s="89" t="s">
        <v>71</v>
      </c>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3" thickBot="1" x14ac:dyDescent="0.3">
      <c r="A124" s="3"/>
      <c r="B124" s="3"/>
      <c r="C124" s="11"/>
      <c r="D124" s="11"/>
    </row>
    <row r="125" spans="1:4" ht="13" thickBot="1" x14ac:dyDescent="0.3">
      <c r="A125" s="12" t="s">
        <v>22</v>
      </c>
      <c r="B125" s="12">
        <f>SUM(B115:B124)</f>
        <v>23</v>
      </c>
      <c r="C125" s="86" t="s">
        <v>37</v>
      </c>
      <c r="D125" s="13"/>
    </row>
    <row r="126" spans="1:4" x14ac:dyDescent="0.25">
      <c r="A126" s="14"/>
      <c r="B126" s="14"/>
      <c r="C126" s="14"/>
      <c r="D126" s="14"/>
    </row>
    <row r="127" spans="1:4" x14ac:dyDescent="0.25">
      <c r="A127" s="87" t="s">
        <v>38</v>
      </c>
    </row>
  </sheetData>
  <sheetProtection sheet="1" objects="1" scenarios="1" insertRows="0" selectLockedCells="1"/>
  <dataValidations count="4">
    <dataValidation type="list" allowBlank="1" showInputMessage="1" showErrorMessage="1" sqref="A17:A26 A31:A40 A45:A54 A59:A68 A73:A82 A87:A96 A115:A124 A3:A10 A12 A101:A103 A105:A110" xr:uid="{C1F57605-1D20-4F02-BFAD-15232D0D2834}">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xr:uid="{C0BD7496-D5B4-4999-853B-674C51CEC01F}">
      <formula1>0</formula1>
      <formula2>NbPerWeek * NbQuartPer</formula2>
    </dataValidation>
    <dataValidation type="whole" errorStyle="warning" operator="greaterThan" allowBlank="1" showInputMessage="1" showErrorMessage="1" errorTitle="Durée en 1/3 de période" error="Le nombre doit être de type entier" sqref="F22:F29 B31:B40 B45:B54 B59:B68 B73:B82 B87:B96 B115:B124 B3:B12 B17:B22 B24:B26 B101:B103 B105:B110" xr:uid="{27B5E843-E0D7-4750-870E-B792AF80CE9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14365C49-AF4A-46BA-A788-FE2C23335789}">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3993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EDE33-A934-4597-8E02-008D4676F3BC}">
  <sheetPr codeName="Feuil9"/>
  <dimension ref="A1:H172"/>
  <sheetViews>
    <sheetView zoomScaleNormal="100" workbookViewId="0">
      <selection activeCell="C160" sqref="C160"/>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45372</v>
      </c>
    </row>
    <row r="2" spans="1:4" ht="23.5" thickBot="1" x14ac:dyDescent="0.3">
      <c r="A2" s="45" t="s">
        <v>3</v>
      </c>
      <c r="B2" s="46" t="s">
        <v>15</v>
      </c>
      <c r="C2" s="45" t="s">
        <v>7</v>
      </c>
      <c r="D2" s="45" t="s">
        <v>13</v>
      </c>
    </row>
    <row r="3" spans="1:4" s="52" customFormat="1" x14ac:dyDescent="0.25">
      <c r="A3" s="1" t="s">
        <v>33</v>
      </c>
      <c r="B3" s="2">
        <v>4</v>
      </c>
      <c r="C3" s="89" t="s">
        <v>39</v>
      </c>
      <c r="D3" s="9"/>
    </row>
    <row r="4" spans="1:4" s="52" customFormat="1" x14ac:dyDescent="0.25">
      <c r="A4" s="1" t="s">
        <v>31</v>
      </c>
      <c r="B4" s="2">
        <v>4</v>
      </c>
      <c r="C4" s="89" t="s">
        <v>40</v>
      </c>
      <c r="D4" s="10"/>
    </row>
    <row r="5" spans="1:4" s="52" customFormat="1" x14ac:dyDescent="0.25">
      <c r="A5" s="1" t="s">
        <v>34</v>
      </c>
      <c r="B5" s="2">
        <v>4</v>
      </c>
      <c r="C5" s="89" t="s">
        <v>41</v>
      </c>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12</v>
      </c>
      <c r="C18" s="88" t="s">
        <v>37</v>
      </c>
      <c r="D18" s="48"/>
    </row>
    <row r="19" spans="1:8" ht="13" thickBot="1" x14ac:dyDescent="0.3">
      <c r="A19" s="49"/>
      <c r="B19" s="49"/>
      <c r="C19" s="49"/>
      <c r="D19" s="49"/>
    </row>
    <row r="20" spans="1:8" ht="18" thickBot="1" x14ac:dyDescent="0.3">
      <c r="A20" s="42" t="s">
        <v>14</v>
      </c>
      <c r="B20" s="43">
        <v>2</v>
      </c>
      <c r="C20" s="44" t="s">
        <v>23</v>
      </c>
      <c r="D20" s="53">
        <f>$D$1+7</f>
        <v>45379</v>
      </c>
    </row>
    <row r="21" spans="1:8" ht="23.5" thickBot="1" x14ac:dyDescent="0.3">
      <c r="A21" s="45" t="s">
        <v>3</v>
      </c>
      <c r="B21" s="46" t="s">
        <v>15</v>
      </c>
      <c r="C21" s="45" t="s">
        <v>7</v>
      </c>
      <c r="D21" s="45" t="s">
        <v>13</v>
      </c>
    </row>
    <row r="22" spans="1:8" ht="25" x14ac:dyDescent="0.25">
      <c r="A22" s="5" t="s">
        <v>31</v>
      </c>
      <c r="B22" s="4">
        <v>2</v>
      </c>
      <c r="C22" s="90" t="s">
        <v>46</v>
      </c>
      <c r="D22" s="9"/>
    </row>
    <row r="23" spans="1:8" x14ac:dyDescent="0.25">
      <c r="A23" s="1" t="s">
        <v>28</v>
      </c>
      <c r="B23" s="2">
        <v>6</v>
      </c>
      <c r="C23" s="89" t="s">
        <v>47</v>
      </c>
      <c r="D23" s="10"/>
    </row>
    <row r="24" spans="1:8" ht="37.5" x14ac:dyDescent="0.25">
      <c r="A24" s="1" t="s">
        <v>36</v>
      </c>
      <c r="B24" s="2">
        <v>1</v>
      </c>
      <c r="C24" s="89" t="s">
        <v>48</v>
      </c>
      <c r="D24" s="10"/>
    </row>
    <row r="25" spans="1:8" ht="12.75" customHeight="1" x14ac:dyDescent="0.25">
      <c r="A25" s="1" t="s">
        <v>35</v>
      </c>
      <c r="B25" s="2">
        <v>1</v>
      </c>
      <c r="C25" s="20" t="s">
        <v>49</v>
      </c>
      <c r="D25" s="10"/>
      <c r="F25" s="31"/>
      <c r="G25" s="32"/>
      <c r="H25" s="33"/>
    </row>
    <row r="26" spans="1:8" ht="25" x14ac:dyDescent="0.25">
      <c r="A26" s="1" t="s">
        <v>28</v>
      </c>
      <c r="B26" s="2">
        <v>2</v>
      </c>
      <c r="C26" s="89" t="s">
        <v>50</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12</v>
      </c>
      <c r="C37" s="88" t="s">
        <v>37</v>
      </c>
      <c r="D37" s="48"/>
    </row>
    <row r="38" spans="1:8" ht="13" thickBot="1" x14ac:dyDescent="0.3">
      <c r="A38" s="49"/>
      <c r="B38" s="49"/>
      <c r="C38" s="49"/>
      <c r="D38" s="49"/>
    </row>
    <row r="39" spans="1:8" ht="18" thickBot="1" x14ac:dyDescent="0.3">
      <c r="A39" s="42" t="s">
        <v>14</v>
      </c>
      <c r="B39" s="43">
        <v>3</v>
      </c>
      <c r="C39" s="44" t="s">
        <v>23</v>
      </c>
      <c r="D39" s="53">
        <f>$D$20+21</f>
        <v>45400</v>
      </c>
    </row>
    <row r="40" spans="1:8" ht="23.5" thickBot="1" x14ac:dyDescent="0.3">
      <c r="A40" s="45" t="s">
        <v>3</v>
      </c>
      <c r="B40" s="46" t="s">
        <v>15</v>
      </c>
      <c r="C40" s="45" t="s">
        <v>7</v>
      </c>
      <c r="D40" s="45" t="s">
        <v>13</v>
      </c>
    </row>
    <row r="41" spans="1:8" x14ac:dyDescent="0.25">
      <c r="A41" s="5" t="s">
        <v>21</v>
      </c>
      <c r="B41" s="4">
        <v>12</v>
      </c>
      <c r="C41" s="90" t="s">
        <v>45</v>
      </c>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12</v>
      </c>
      <c r="C56" s="88" t="s">
        <v>37</v>
      </c>
      <c r="D56" s="48"/>
    </row>
    <row r="57" spans="1:4" ht="13" thickBot="1" x14ac:dyDescent="0.3">
      <c r="A57" s="49"/>
      <c r="B57" s="49"/>
      <c r="C57" s="49"/>
      <c r="D57" s="49"/>
    </row>
    <row r="58" spans="1:4" ht="18" thickBot="1" x14ac:dyDescent="0.3">
      <c r="A58" s="42" t="s">
        <v>14</v>
      </c>
      <c r="B58" s="43">
        <v>4</v>
      </c>
      <c r="C58" s="44" t="s">
        <v>23</v>
      </c>
      <c r="D58" s="53">
        <f>$D$39+7</f>
        <v>45407</v>
      </c>
    </row>
    <row r="59" spans="1:4" ht="23.5" thickBot="1" x14ac:dyDescent="0.3">
      <c r="A59" s="45" t="s">
        <v>3</v>
      </c>
      <c r="B59" s="46" t="s">
        <v>15</v>
      </c>
      <c r="C59" s="45" t="s">
        <v>7</v>
      </c>
      <c r="D59" s="45" t="s">
        <v>13</v>
      </c>
    </row>
    <row r="60" spans="1:4" x14ac:dyDescent="0.25">
      <c r="A60" s="5" t="s">
        <v>21</v>
      </c>
      <c r="B60" s="4">
        <v>12</v>
      </c>
      <c r="C60" s="90" t="s">
        <v>44</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12</v>
      </c>
      <c r="C75" s="88" t="s">
        <v>37</v>
      </c>
      <c r="D75" s="48"/>
    </row>
    <row r="76" spans="1:4" ht="13" thickBot="1" x14ac:dyDescent="0.3">
      <c r="A76" s="49"/>
      <c r="B76" s="49"/>
      <c r="C76" s="49"/>
      <c r="D76" s="49"/>
    </row>
    <row r="77" spans="1:4" ht="18" thickBot="1" x14ac:dyDescent="0.3">
      <c r="A77" s="42" t="s">
        <v>14</v>
      </c>
      <c r="B77" s="43">
        <v>5</v>
      </c>
      <c r="C77" s="44" t="s">
        <v>23</v>
      </c>
      <c r="D77" s="53">
        <f>$D$58+7</f>
        <v>45414</v>
      </c>
    </row>
    <row r="78" spans="1:4" ht="23.5" thickBot="1" x14ac:dyDescent="0.3">
      <c r="A78" s="45" t="s">
        <v>3</v>
      </c>
      <c r="B78" s="46" t="s">
        <v>15</v>
      </c>
      <c r="C78" s="45" t="s">
        <v>7</v>
      </c>
      <c r="D78" s="45" t="s">
        <v>13</v>
      </c>
    </row>
    <row r="79" spans="1:4" ht="37.5" x14ac:dyDescent="0.25">
      <c r="A79" s="5" t="s">
        <v>28</v>
      </c>
      <c r="B79" s="4">
        <v>6</v>
      </c>
      <c r="C79" s="90" t="s">
        <v>51</v>
      </c>
      <c r="D79" s="9"/>
    </row>
    <row r="80" spans="1:4" ht="37.5" x14ac:dyDescent="0.25">
      <c r="A80" s="1" t="s">
        <v>29</v>
      </c>
      <c r="B80" s="2">
        <v>4</v>
      </c>
      <c r="C80" s="89" t="s">
        <v>55</v>
      </c>
      <c r="D80" s="10"/>
    </row>
    <row r="81" spans="1:4" x14ac:dyDescent="0.25">
      <c r="A81" s="1" t="s">
        <v>21</v>
      </c>
      <c r="B81" s="2">
        <v>2</v>
      </c>
      <c r="C81" s="89" t="s">
        <v>52</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12</v>
      </c>
      <c r="C94" s="88" t="s">
        <v>37</v>
      </c>
      <c r="D94" s="48"/>
    </row>
    <row r="95" spans="1:4" ht="13" thickBot="1" x14ac:dyDescent="0.3">
      <c r="A95" s="49"/>
      <c r="B95" s="49"/>
      <c r="C95" s="49"/>
      <c r="D95" s="49"/>
    </row>
    <row r="96" spans="1:4" ht="18" thickBot="1" x14ac:dyDescent="0.3">
      <c r="A96" s="42" t="s">
        <v>14</v>
      </c>
      <c r="B96" s="43">
        <v>6</v>
      </c>
      <c r="C96" s="44" t="s">
        <v>23</v>
      </c>
      <c r="D96" s="53">
        <f>$D$77+7</f>
        <v>45421</v>
      </c>
    </row>
    <row r="97" spans="1:4" ht="23.5" thickBot="1" x14ac:dyDescent="0.3">
      <c r="A97" s="45" t="s">
        <v>3</v>
      </c>
      <c r="B97" s="46" t="s">
        <v>15</v>
      </c>
      <c r="C97" s="45" t="s">
        <v>7</v>
      </c>
      <c r="D97" s="45" t="s">
        <v>13</v>
      </c>
    </row>
    <row r="98" spans="1:4" ht="25" x14ac:dyDescent="0.25">
      <c r="A98" s="5" t="s">
        <v>28</v>
      </c>
      <c r="B98" s="4">
        <v>8</v>
      </c>
      <c r="C98" s="90" t="s">
        <v>53</v>
      </c>
      <c r="D98" s="9"/>
    </row>
    <row r="99" spans="1:4" ht="37.5" x14ac:dyDescent="0.25">
      <c r="A99" s="1" t="s">
        <v>29</v>
      </c>
      <c r="B99" s="2">
        <v>4</v>
      </c>
      <c r="C99" s="89" t="s">
        <v>54</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12</v>
      </c>
      <c r="C113" s="88" t="s">
        <v>37</v>
      </c>
      <c r="D113" s="48"/>
    </row>
    <row r="114" spans="1:4" ht="13" thickBot="1" x14ac:dyDescent="0.3">
      <c r="A114" s="49"/>
      <c r="B114" s="49"/>
      <c r="C114" s="49"/>
      <c r="D114" s="49"/>
    </row>
    <row r="115" spans="1:4" ht="18" thickBot="1" x14ac:dyDescent="0.3">
      <c r="A115" s="42" t="s">
        <v>14</v>
      </c>
      <c r="B115" s="43">
        <v>7</v>
      </c>
      <c r="C115" s="44" t="s">
        <v>23</v>
      </c>
      <c r="D115" s="53">
        <f>$D$96+7</f>
        <v>45428</v>
      </c>
    </row>
    <row r="116" spans="1:4" ht="23.5" thickBot="1" x14ac:dyDescent="0.3">
      <c r="A116" s="45" t="s">
        <v>3</v>
      </c>
      <c r="B116" s="46" t="s">
        <v>15</v>
      </c>
      <c r="C116" s="45" t="s">
        <v>7</v>
      </c>
      <c r="D116" s="45" t="s">
        <v>13</v>
      </c>
    </row>
    <row r="117" spans="1:4" ht="37.5" x14ac:dyDescent="0.25">
      <c r="A117" s="5" t="s">
        <v>29</v>
      </c>
      <c r="B117" s="4">
        <v>12</v>
      </c>
      <c r="C117" s="90" t="s">
        <v>56</v>
      </c>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12</v>
      </c>
      <c r="C132" s="88" t="s">
        <v>37</v>
      </c>
      <c r="D132" s="48"/>
    </row>
    <row r="133" spans="1:4" ht="13" thickBot="1" x14ac:dyDescent="0.3">
      <c r="A133" s="49"/>
      <c r="B133" s="49"/>
      <c r="C133" s="49"/>
      <c r="D133" s="49"/>
    </row>
    <row r="134" spans="1:4" ht="18" thickBot="1" x14ac:dyDescent="0.3">
      <c r="A134" s="42" t="s">
        <v>14</v>
      </c>
      <c r="B134" s="43">
        <v>8</v>
      </c>
      <c r="C134" s="44" t="s">
        <v>23</v>
      </c>
      <c r="D134" s="53">
        <f>$D$115+7</f>
        <v>45435</v>
      </c>
    </row>
    <row r="135" spans="1:4" ht="23.5" thickBot="1" x14ac:dyDescent="0.3">
      <c r="A135" s="45" t="s">
        <v>3</v>
      </c>
      <c r="B135" s="46" t="s">
        <v>15</v>
      </c>
      <c r="C135" s="45" t="s">
        <v>7</v>
      </c>
      <c r="D135" s="45" t="s">
        <v>13</v>
      </c>
    </row>
    <row r="136" spans="1:4" ht="25" x14ac:dyDescent="0.25">
      <c r="A136" s="5" t="s">
        <v>29</v>
      </c>
      <c r="B136" s="4">
        <v>3</v>
      </c>
      <c r="C136" s="90" t="s">
        <v>57</v>
      </c>
      <c r="D136" s="9"/>
    </row>
    <row r="137" spans="1:4" ht="37.5" x14ac:dyDescent="0.25">
      <c r="A137" s="1" t="s">
        <v>29</v>
      </c>
      <c r="B137" s="2">
        <v>3</v>
      </c>
      <c r="C137" s="89" t="s">
        <v>58</v>
      </c>
      <c r="D137" s="10"/>
    </row>
    <row r="138" spans="1:4" ht="25" x14ac:dyDescent="0.25">
      <c r="A138" s="1" t="s">
        <v>30</v>
      </c>
      <c r="B138" s="2">
        <v>3</v>
      </c>
      <c r="C138" s="89" t="s">
        <v>59</v>
      </c>
      <c r="D138" s="10"/>
    </row>
    <row r="139" spans="1:4" ht="37.5" x14ac:dyDescent="0.25">
      <c r="A139" s="1" t="s">
        <v>29</v>
      </c>
      <c r="B139" s="2">
        <v>2</v>
      </c>
      <c r="C139" s="89" t="s">
        <v>60</v>
      </c>
      <c r="D139" s="10"/>
    </row>
    <row r="140" spans="1:4" ht="50" x14ac:dyDescent="0.25">
      <c r="A140" s="1" t="s">
        <v>30</v>
      </c>
      <c r="B140" s="2">
        <v>1</v>
      </c>
      <c r="C140" s="89" t="s">
        <v>61</v>
      </c>
      <c r="D140" s="10"/>
    </row>
    <row r="141" spans="1:4" x14ac:dyDescent="0.25">
      <c r="A141" s="91" t="s">
        <v>62</v>
      </c>
      <c r="B141" s="2"/>
      <c r="C141" s="10"/>
      <c r="D141" s="10"/>
    </row>
    <row r="142" spans="1:4" ht="75" x14ac:dyDescent="0.25">
      <c r="A142" s="92" t="s">
        <v>30</v>
      </c>
      <c r="B142" s="2">
        <v>4</v>
      </c>
      <c r="C142" s="89" t="s">
        <v>64</v>
      </c>
      <c r="D142" s="10"/>
    </row>
    <row r="143" spans="1:4" ht="62.5" x14ac:dyDescent="0.25">
      <c r="A143" s="1" t="s">
        <v>21</v>
      </c>
      <c r="B143" s="2">
        <v>2</v>
      </c>
      <c r="C143" s="89" t="s">
        <v>63</v>
      </c>
      <c r="D143" s="10"/>
    </row>
    <row r="144" spans="1:4" ht="37.5" x14ac:dyDescent="0.25">
      <c r="A144" s="92" t="s">
        <v>21</v>
      </c>
      <c r="B144" s="2">
        <v>3</v>
      </c>
      <c r="C144" s="89" t="s">
        <v>65</v>
      </c>
      <c r="D144" s="10"/>
    </row>
    <row r="145" spans="1:4" ht="37.5" x14ac:dyDescent="0.25">
      <c r="A145" s="2" t="s">
        <v>30</v>
      </c>
      <c r="B145" s="2">
        <v>3</v>
      </c>
      <c r="C145" s="89" t="s">
        <v>66</v>
      </c>
      <c r="D145" s="10"/>
    </row>
    <row r="146" spans="1:4" ht="50" x14ac:dyDescent="0.25">
      <c r="A146" s="2" t="s">
        <v>29</v>
      </c>
      <c r="B146" s="2">
        <v>4</v>
      </c>
      <c r="C146" s="89" t="s">
        <v>67</v>
      </c>
      <c r="D146" s="10"/>
    </row>
    <row r="147" spans="1:4" ht="62.5" x14ac:dyDescent="0.25">
      <c r="A147" s="2" t="s">
        <v>29</v>
      </c>
      <c r="B147" s="2">
        <v>3</v>
      </c>
      <c r="C147" s="89" t="s">
        <v>68</v>
      </c>
      <c r="D147" s="10"/>
    </row>
    <row r="148" spans="1:4" x14ac:dyDescent="0.25">
      <c r="A148" s="50"/>
      <c r="B148" s="50"/>
      <c r="C148" s="51"/>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31</v>
      </c>
      <c r="C151" s="88" t="s">
        <v>37</v>
      </c>
      <c r="D151" s="48"/>
    </row>
    <row r="152" spans="1:4" ht="13" thickBot="1" x14ac:dyDescent="0.3">
      <c r="A152" s="49"/>
      <c r="B152" s="49"/>
      <c r="C152" s="49"/>
      <c r="D152" s="49"/>
    </row>
    <row r="153" spans="1:4" ht="18" thickBot="1" x14ac:dyDescent="0.3">
      <c r="A153" s="42" t="s">
        <v>14</v>
      </c>
      <c r="B153" s="43">
        <v>9</v>
      </c>
      <c r="C153" s="44" t="s">
        <v>23</v>
      </c>
      <c r="D153" s="53">
        <f>$D$134+7</f>
        <v>45442</v>
      </c>
    </row>
    <row r="154" spans="1:4" ht="23.5" thickBot="1" x14ac:dyDescent="0.3">
      <c r="A154" s="45" t="s">
        <v>3</v>
      </c>
      <c r="B154" s="46" t="s">
        <v>15</v>
      </c>
      <c r="C154" s="45" t="s">
        <v>7</v>
      </c>
      <c r="D154" s="45" t="s">
        <v>13</v>
      </c>
    </row>
    <row r="155" spans="1:4" x14ac:dyDescent="0.25">
      <c r="A155" s="5" t="s">
        <v>28</v>
      </c>
      <c r="B155" s="4">
        <v>6</v>
      </c>
      <c r="C155" s="90" t="s">
        <v>84</v>
      </c>
      <c r="D155" s="9"/>
    </row>
    <row r="156" spans="1:4" x14ac:dyDescent="0.25">
      <c r="A156" s="1" t="s">
        <v>28</v>
      </c>
      <c r="B156" s="2">
        <v>2</v>
      </c>
      <c r="C156" s="89" t="s">
        <v>69</v>
      </c>
      <c r="D156" s="10"/>
    </row>
    <row r="157" spans="1:4" ht="25" x14ac:dyDescent="0.25">
      <c r="A157" s="1" t="s">
        <v>29</v>
      </c>
      <c r="B157" s="2">
        <v>2</v>
      </c>
      <c r="C157" s="89" t="s">
        <v>85</v>
      </c>
      <c r="D157" s="10"/>
    </row>
    <row r="158" spans="1:4" x14ac:dyDescent="0.25">
      <c r="A158" s="1" t="s">
        <v>34</v>
      </c>
      <c r="B158" s="2">
        <v>2</v>
      </c>
      <c r="C158" s="89" t="s">
        <v>71</v>
      </c>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12</v>
      </c>
      <c r="C170" s="88" t="s">
        <v>37</v>
      </c>
      <c r="D170" s="48"/>
    </row>
    <row r="171" spans="1:4" x14ac:dyDescent="0.25">
      <c r="A171" s="49"/>
      <c r="B171" s="49"/>
      <c r="C171" s="49"/>
      <c r="D171" s="49"/>
    </row>
    <row r="172" spans="1:4" x14ac:dyDescent="0.25">
      <c r="A172" s="87"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AF550D36-64A8-4F69-B7F2-4E0599454DCF}">
      <formula1>0</formula1>
      <formula2>DureePeriode-1</formula2>
    </dataValidation>
    <dataValidation type="whole" errorStyle="warning" operator="greaterThan" allowBlank="1" showInputMessage="1" showErrorMessage="1" errorTitle="Durée en 1/3 de période" error="Le nombre doit être de type entier" sqref="F27:F34 B136:B150 B22:B36 B41:B55 B60:B74 B3:B17 B98:B112 B117:B131 B79:B93 B155:B169" xr:uid="{0D1D0E22-4861-4CB1-9122-37F25A95C46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xr:uid="{CB46904E-AFAA-4AAD-A6DF-6DD1C1611ED3}">
      <formula1>0</formula1>
      <formula2>NbPerWeek * NbQuartPer</formula2>
    </dataValidation>
    <dataValidation type="list" allowBlank="1" showInputMessage="1" showErrorMessage="1" sqref="A136:A150 A22:A36 A41:A55 A60:A74 A3:A17 A98:A112 A117:A131 A79:A93 A155:A169" xr:uid="{8B4E242C-2AA2-40C2-838A-4CCA5559239A}">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C07A01-2FFD-42C3-8E68-579A87261391}">
  <ds:schemaRefs>
    <ds:schemaRef ds:uri="http://schemas.microsoft.com/sharepoint/v3/contenttype/forms"/>
  </ds:schemaRefs>
</ds:datastoreItem>
</file>

<file path=customXml/itemProps3.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Omar Egal Ahmed</dc:creator>
  <cp:lastModifiedBy>Omar Egal Ahmed</cp:lastModifiedBy>
  <cp:lastPrinted>2013-08-29T11:33:15Z</cp:lastPrinted>
  <dcterms:created xsi:type="dcterms:W3CDTF">1996-10-21T11:03:58Z</dcterms:created>
  <dcterms:modified xsi:type="dcterms:W3CDTF">2024-05-30T20:34:03Z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